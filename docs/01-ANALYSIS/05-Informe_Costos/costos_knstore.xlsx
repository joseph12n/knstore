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8_{9E22A172-2E7E-4F31-9490-5F1890B0A57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sumen Ejecutivo" sheetId="1" r:id="rId1"/>
    <sheet name="Supuestos" sheetId="2" r:id="rId2"/>
    <sheet name="CAPEX" sheetId="3" r:id="rId3"/>
    <sheet name="OPEX" sheetId="4" r:id="rId4"/>
    <sheet name="Cloud" sheetId="5" r:id="rId5"/>
    <sheet name="Riesgos" sheetId="6" r:id="rId6"/>
    <sheet name="Gráfic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6" l="1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H13" i="5"/>
  <c r="G13" i="5"/>
  <c r="F13" i="5"/>
  <c r="E15" i="4"/>
  <c r="F14" i="4"/>
  <c r="H14" i="4" s="1"/>
  <c r="F13" i="4"/>
  <c r="G13" i="4" s="1"/>
  <c r="F12" i="4"/>
  <c r="H12" i="4" s="1"/>
  <c r="H11" i="4"/>
  <c r="G11" i="4"/>
  <c r="F11" i="4"/>
  <c r="F10" i="4"/>
  <c r="H10" i="4" s="1"/>
  <c r="F9" i="4"/>
  <c r="H9" i="4" s="1"/>
  <c r="F8" i="4"/>
  <c r="H8" i="4" s="1"/>
  <c r="F7" i="4"/>
  <c r="H7" i="4" s="1"/>
  <c r="H6" i="4"/>
  <c r="G6" i="4"/>
  <c r="F6" i="4"/>
  <c r="F5" i="4"/>
  <c r="H5" i="4" s="1"/>
  <c r="D15" i="3"/>
  <c r="F14" i="3"/>
  <c r="F13" i="3"/>
  <c r="F12" i="3"/>
  <c r="F11" i="3"/>
  <c r="F10" i="3"/>
  <c r="F9" i="3"/>
  <c r="F8" i="3"/>
  <c r="F7" i="3"/>
  <c r="F6" i="3"/>
  <c r="F5" i="3"/>
  <c r="F15" i="3" s="1"/>
  <c r="B6" i="2"/>
  <c r="H13" i="4" l="1"/>
  <c r="H15" i="4" s="1"/>
  <c r="G14" i="4"/>
  <c r="F15" i="4"/>
  <c r="G10" i="4"/>
  <c r="G12" i="4"/>
  <c r="G7" i="4"/>
  <c r="G8" i="4"/>
  <c r="G9" i="4"/>
  <c r="G5" i="4"/>
  <c r="G15" i="4" s="1"/>
</calcChain>
</file>

<file path=xl/sharedStrings.xml><?xml version="1.0" encoding="utf-8"?>
<sst xmlns="http://schemas.openxmlformats.org/spreadsheetml/2006/main" count="560" uniqueCount="382">
  <si>
    <t>KNSTORE — SISTEMA E-COMMERCE | ANÁLISIS INTEGRAL DE COSTOS</t>
  </si>
  <si>
    <t>▶  INDICADORES CLAVE DE INVERSIÓN</t>
  </si>
  <si>
    <t>Indicador</t>
  </si>
  <si>
    <t>Valor (COP)</t>
  </si>
  <si>
    <t>3 Años (COP)</t>
  </si>
  <si>
    <t>5 Años (COP)</t>
  </si>
  <si>
    <t>Descripción</t>
  </si>
  <si>
    <t>CAPEX Total (Desarrollo)</t>
  </si>
  <si>
    <t>Inversión inicial en desarrollo del sistema</t>
  </si>
  <si>
    <t>OPEX Anual (Operación del sistema)</t>
  </si>
  <si>
    <t>Costo operativo anual enfocado en el sistema</t>
  </si>
  <si>
    <t>Inversión Total Año 1</t>
  </si>
  <si>
    <t>CAPEX + primer año de OPEX</t>
  </si>
  <si>
    <t>Costo Acumulado 3 años</t>
  </si>
  <si>
    <t>CAPEX + OPEX 3 años</t>
  </si>
  <si>
    <t>Costo Acumulado 5 años</t>
  </si>
  <si>
    <t>CAPEX + OPEX 5 años</t>
  </si>
  <si>
    <t>Total horas de desarrollo</t>
  </si>
  <si>
    <t>Horas totales del equipo de 4 personas</t>
  </si>
  <si>
    <t>Ingreso anual estimado</t>
  </si>
  <si>
    <t>50 transacc/mes × $80,000/ticket</t>
  </si>
  <si>
    <t>Beneficio neto anual (vs OPEX)</t>
  </si>
  <si>
    <t>Margen 20% de ingresos − OPEX anual</t>
  </si>
  <si>
    <t>ROI estimado 3 años</t>
  </si>
  <si>
    <t>Retorno sobre CAPEX en horizonte 3 años</t>
  </si>
  <si>
    <t>ROI estimado 5 años</t>
  </si>
  <si>
    <t>Retorno sobre CAPEX en horizonte 5 años</t>
  </si>
  <si>
    <t>Punto de equilibrio (payback)</t>
  </si>
  <si>
    <t>Años para recuperar la inversión inicial</t>
  </si>
  <si>
    <t>▶  CORRECCIONES REALIZADAS RESPECTO A LA VERSIÓN ORIGINAL</t>
  </si>
  <si>
    <t>Hoja</t>
  </si>
  <si>
    <t>Corrección Aplicada</t>
  </si>
  <si>
    <t>Estado</t>
  </si>
  <si>
    <t>CAPEX</t>
  </si>
  <si>
    <t>Costo unitario corregido (estaba manual e incorrecto); fórmulas: Horas × Tasa</t>
  </si>
  <si>
    <t>Revisada</t>
  </si>
  <si>
    <t>Responsive Design corregido: $1,000,000 → $1,200,000 (20h × $60,000)</t>
  </si>
  <si>
    <t>Columna "Proveedor" / "Responsable" corregida: asignación por dev específico</t>
  </si>
  <si>
    <t>UI/UX: sub-tabla independiente integrada como nota; tasa unificada a $60,000/h</t>
  </si>
  <si>
    <t>OPEX</t>
  </si>
  <si>
    <t>Periodicidad corregida: "Desarrolladores" → "Mensual" / "Anual"</t>
  </si>
  <si>
    <t>Dominio: $61,000/mes → $50,000/AÑO (pago anual, no mensual)</t>
  </si>
  <si>
    <t>SSL: $46,000/mes → $0 (Let's Encrypt gratuito, renovación automática)</t>
  </si>
  <si>
    <t>CDN Cloudflare: $95,000/mes → $0 (plan gratuito suficiente para el volumen)</t>
  </si>
  <si>
    <t>Hosting corregido a VPS real: $25,000/mes → $65,000/mes (plan adecuado)</t>
  </si>
  <si>
    <t>OPEX ampliado: email transaccional, pasarela, mantenimiento, backup, licencias</t>
  </si>
  <si>
    <t>Resumen</t>
  </si>
  <si>
    <t>ROI recalculado con supuestos explícitos (antes era un decimal sin contexto)</t>
  </si>
  <si>
    <t>TOTAL eliminado (era suma incorrecta de CAPEX+OPEX+ROI porcentual)</t>
  </si>
  <si>
    <t>Cloud</t>
  </si>
  <si>
    <t>Hoja completada con recursos reales y costos unitarios en COP</t>
  </si>
  <si>
    <t>Creada</t>
  </si>
  <si>
    <t>Riesgos</t>
  </si>
  <si>
    <t>Matriz de 14 riesgos creada con probabilidad, impacto y plan de mitigación</t>
  </si>
  <si>
    <t>Gráficos</t>
  </si>
  <si>
    <t>4 gráficas creadas: CAPEX por módulo, OPEX distribución, riesgo, horizonte</t>
  </si>
  <si>
    <t>SUPUESTOS Y PARÁMETROS DEL MODELO DE COSTOS</t>
  </si>
  <si>
    <t>PARÁMETROS DEL EQUIPO</t>
  </si>
  <si>
    <t>Parámetro</t>
  </si>
  <si>
    <t>Valor</t>
  </si>
  <si>
    <t>Unidad</t>
  </si>
  <si>
    <t>Formato</t>
  </si>
  <si>
    <t>Número de personas en el equipo</t>
  </si>
  <si>
    <t>personas</t>
  </si>
  <si>
    <t>Equipo de 4 desarrolladores</t>
  </si>
  <si>
    <t>Tasa horaria de desarrollo</t>
  </si>
  <si>
    <t>COP/hora</t>
  </si>
  <si>
    <t>Input: modificar en B7</t>
  </si>
  <si>
    <t>Tasa horaria (input)</t>
  </si>
  <si>
    <t>Valor base para todos los módulos CAPEX</t>
  </si>
  <si>
    <t>horas</t>
  </si>
  <si>
    <t>Suma de horas por módulo</t>
  </si>
  <si>
    <t>CAPEX Total calculado</t>
  </si>
  <si>
    <t>COP</t>
  </si>
  <si>
    <t>Horas × Tasa</t>
  </si>
  <si>
    <t>PARÁMETROS OPERATIVOS (OPEX)</t>
  </si>
  <si>
    <t>OPEX mensual estimado</t>
  </si>
  <si>
    <t>COP/mes</t>
  </si>
  <si>
    <t>Suma costos mensuales de operación</t>
  </si>
  <si>
    <t>OPEX anual estimado</t>
  </si>
  <si>
    <t>COP/año</t>
  </si>
  <si>
    <t>OPEX mensual × 12</t>
  </si>
  <si>
    <t>OPEX 3 años</t>
  </si>
  <si>
    <t>OPEX anual × 3</t>
  </si>
  <si>
    <t>OPEX 5 años</t>
  </si>
  <si>
    <t>OPEX anual × 5</t>
  </si>
  <si>
    <t>SUPUESTOS DE NEGOCIO (PARA ROI)</t>
  </si>
  <si>
    <t>Transacciones por mes (estimado)</t>
  </si>
  <si>
    <t>transacciones</t>
  </si>
  <si>
    <t>Escenario conservador inicial</t>
  </si>
  <si>
    <t>Ticket promedio por transacción</t>
  </si>
  <si>
    <t>Valor promedio de cada compra</t>
  </si>
  <si>
    <t>Margen neto del negocio</t>
  </si>
  <si>
    <t>porcentaje</t>
  </si>
  <si>
    <t>Sobre ingresos brutos</t>
  </si>
  <si>
    <t>Ingreso anual estimado bruto</t>
  </si>
  <si>
    <t>Transacciones × 12 × Ticket</t>
  </si>
  <si>
    <t>Beneficio anual bruto</t>
  </si>
  <si>
    <t>Ingreso × Margen</t>
  </si>
  <si>
    <t>Beneficio bruto − OPEX anual</t>
  </si>
  <si>
    <t>Payback / Punto de equilibrio</t>
  </si>
  <si>
    <t>años</t>
  </si>
  <si>
    <t>CAPEX / Beneficio neto anual</t>
  </si>
  <si>
    <t>ROI a 3 años</t>
  </si>
  <si>
    <t>(Beneficio neto×3 − CAPEX) / CAPEX</t>
  </si>
  <si>
    <t>ROI a 5 años</t>
  </si>
  <si>
    <t>(Beneficio neto×5 − CAPEX) / CAPEX</t>
  </si>
  <si>
    <t>CAPEX — INVERSIÓN EN DESARROLLO DEL SISTEMA E-COMMERCE</t>
  </si>
  <si>
    <t>Capital Expenditure · Equipo 4 personas · Tasa unificada: $60,000 COP/hora</t>
  </si>
  <si>
    <t>Módulo / Componente</t>
  </si>
  <si>
    <t>Descripción Técnica</t>
  </si>
  <si>
    <t>Dev Responsable</t>
  </si>
  <si>
    <t>Horas Estimadas</t>
  </si>
  <si>
    <t>Tasa/h (COP)</t>
  </si>
  <si>
    <t>Subtotal (COP)</t>
  </si>
  <si>
    <t>Notas</t>
  </si>
  <si>
    <t>API REST</t>
  </si>
  <si>
    <t>Endpoints CRUD: productos, usuarios, pedidos, stock</t>
  </si>
  <si>
    <t>Dev Backend 1</t>
  </si>
  <si>
    <t>Corrected: Horas × Tasa/h</t>
  </si>
  <si>
    <t>Base de Datos</t>
  </si>
  <si>
    <t>Modelado ERD, consultas optimizadas, normalización</t>
  </si>
  <si>
    <t>Seguridad</t>
  </si>
  <si>
    <t>Auth JWT, encriptación, permisos, roles y sesiones</t>
  </si>
  <si>
    <t>Integraciones</t>
  </si>
  <si>
    <t>Pasarela pagos (Wompi/MercadoPago), notif. email/push</t>
  </si>
  <si>
    <t>Dev Backend 2</t>
  </si>
  <si>
    <t>Checkout Seguro</t>
  </si>
  <si>
    <t>Flujo de compra, validaciones, confirmación de pago</t>
  </si>
  <si>
    <t>Panel Administrador</t>
  </si>
  <si>
    <t>Gestión de inventario, pedidos, usuarios y reportes</t>
  </si>
  <si>
    <t>Dev Fullstack</t>
  </si>
  <si>
    <t>Diseño UI/UX</t>
  </si>
  <si>
    <t>Wireframes, mockups alta fidelidad, prototipo navegable</t>
  </si>
  <si>
    <t>Dev Frontend</t>
  </si>
  <si>
    <t>Catálogo Interactivo</t>
  </si>
  <si>
    <t>Filtros, paginación, vista de detalle, búsqueda</t>
  </si>
  <si>
    <t>Carrito de Compras</t>
  </si>
  <si>
    <t>Flujo completo: agregar, editar, persistencia de sesión</t>
  </si>
  <si>
    <t>Responsive Design</t>
  </si>
  <si>
    <t>Adaptación móvil, tablet y desktop (CSS/media queries)</t>
  </si>
  <si>
    <t>TOTAL CAPEX</t>
  </si>
  <si>
    <t>DISTRIBUCIÓN POR DESARROLLADOR</t>
  </si>
  <si>
    <t>Desarrollador</t>
  </si>
  <si>
    <t>Módulos asignados</t>
  </si>
  <si>
    <t>Horas</t>
  </si>
  <si>
    <t>API REST, Base de Datos, Seguridad</t>
  </si>
  <si>
    <t>Integraciones, Checkout Seguro</t>
  </si>
  <si>
    <t>Diseño UI/UX, Catálogo Interactivo, Carrito de Compras, Responsive Design</t>
  </si>
  <si>
    <t>TOTAL</t>
  </si>
  <si>
    <t>OPEX — COSTOS OPERATIVOS DEL SISTEMA (ENFOCADOS EN EL SISTEMA)</t>
  </si>
  <si>
    <t>Operational Expenditure · Costos recurrentes del sistema e-commerce KNStore</t>
  </si>
  <si>
    <t>Categoría</t>
  </si>
  <si>
    <t>Proveedor</t>
  </si>
  <si>
    <t>Periodicidad</t>
  </si>
  <si>
    <t>Costo Mensual (COP)</t>
  </si>
  <si>
    <t>Costo Anual (COP)</t>
  </si>
  <si>
    <t>Costo 3 años (COP)</t>
  </si>
  <si>
    <t>Costo 5 años (COP)</t>
  </si>
  <si>
    <t>Observaciones</t>
  </si>
  <si>
    <t>Hosting Cloud</t>
  </si>
  <si>
    <t>VPS 2 vCPU / 4 GB RAM — servidor web + BD</t>
  </si>
  <si>
    <t>Hostinger / DigitalOcean</t>
  </si>
  <si>
    <t>Mensual</t>
  </si>
  <si>
    <t>Plan básico adecuado para e-commerce pequeño</t>
  </si>
  <si>
    <t>Dominio</t>
  </si>
  <si>
    <t>Registro dominio .com — pago único anual</t>
  </si>
  <si>
    <t>Namecheap / Hostinger</t>
  </si>
  <si>
    <t>Anual</t>
  </si>
  <si>
    <t>Equivalente mensual: $4,167</t>
  </si>
  <si>
    <t>SSL / HTTPS</t>
  </si>
  <si>
    <t>Certificado de seguridad — Let's Encrypt gratuito</t>
  </si>
  <si>
    <t>Let's Encrypt</t>
  </si>
  <si>
    <t>Gratuito, renovación automática cada 90 días</t>
  </si>
  <si>
    <t>CDN</t>
  </si>
  <si>
    <t>Distribución de contenido y protección DDoS básica</t>
  </si>
  <si>
    <t>Cloudflare (Free)</t>
  </si>
  <si>
    <t>Plan gratuito suficiente para el volumen inicial</t>
  </si>
  <si>
    <t>Email Transaccional</t>
  </si>
  <si>
    <t>Notificaciones pedidos, registro, recuperación clave</t>
  </si>
  <si>
    <t>Brevo / SendGrid</t>
  </si>
  <si>
    <t>Hasta 9.000 emails/mes en plan Starter</t>
  </si>
  <si>
    <t>Pasarela de Pagos</t>
  </si>
  <si>
    <t>Procesamiento de transacciones (estimado mínimo)</t>
  </si>
  <si>
    <t>Wompi / MercadoPago</t>
  </si>
  <si>
    <t>~3.49% + fijo por transacción; aquí estimado conservador</t>
  </si>
  <si>
    <t>Monitoreo / Uptime</t>
  </si>
  <si>
    <t>Alertas de caída, logs de acceso y métricas</t>
  </si>
  <si>
    <t>UptimeRobot / Datadog</t>
  </si>
  <si>
    <t>Plan básico de pago; plan free disponible</t>
  </si>
  <si>
    <t>Mantenimiento Sistema</t>
  </si>
  <si>
    <t>4h/mes equipo interno: bugs, updates, dependencias</t>
  </si>
  <si>
    <t>Equipo interno</t>
  </si>
  <si>
    <t>4h × $60,000/h — costo real del equipo</t>
  </si>
  <si>
    <t>Backup / Storage</t>
  </si>
  <si>
    <t>Almacenamiento imágenes de productos y backups BD</t>
  </si>
  <si>
    <t>Google Cloud Storage</t>
  </si>
  <si>
    <t>~10 GB datos + 5 GB backup</t>
  </si>
  <si>
    <t>Licencias / Herramientas</t>
  </si>
  <si>
    <t>Herramientas de desarrollo, testing y CI/CD</t>
  </si>
  <si>
    <t>Varios (GitHub, etc.)</t>
  </si>
  <si>
    <t>Proporcional mensual: $8,333</t>
  </si>
  <si>
    <t>TOTAL OPEX</t>
  </si>
  <si>
    <t>NOTA: Periodicidad original decía "Desarrolladores" en todos los ítems (error). Dominio corregido de $61,000/mes → $50,000/año. SSL corregido de $46,000/mes → $0 (Let's Encrypt gratuito). CDN corregido de $95,000/mes → $0 (plan Cloudflare gratuito). Hosting ajustado a VPS real ($65,000/mes). OPEX ampliado con: email transaccional, pasarela pagos, mantenimiento, backup y licencias del sistema.</t>
  </si>
  <si>
    <t>CLOUD — INFRAESTRUCTURA Y RECURSOS EN LA NUBE</t>
  </si>
  <si>
    <t>Detalle de recursos cloud para el e-commerce KNStore · Costos en COP</t>
  </si>
  <si>
    <t>Recurso Cloud</t>
  </si>
  <si>
    <t>SKU / Plan</t>
  </si>
  <si>
    <t>Consumo Est.</t>
  </si>
  <si>
    <t>Costo Unitario (COP)</t>
  </si>
  <si>
    <t>Servidor Web + BD</t>
  </si>
  <si>
    <t>Hostinger VPS 2</t>
  </si>
  <si>
    <t>Instancia/mes</t>
  </si>
  <si>
    <t>1 VPS</t>
  </si>
  <si>
    <t>2 vCPU, 4 GB RAM, 80 GB SSD NVMe</t>
  </si>
  <si>
    <t>Object Storage</t>
  </si>
  <si>
    <t>GCS Standard</t>
  </si>
  <si>
    <t>GB/mes</t>
  </si>
  <si>
    <t>10 GB</t>
  </si>
  <si>
    <t>Imágenes de productos y assets estáticos</t>
  </si>
  <si>
    <t>Backup Storage</t>
  </si>
  <si>
    <t>GCS Nearline</t>
  </si>
  <si>
    <t>5 GB</t>
  </si>
  <si>
    <t>Backups de base de datos PostgreSQL</t>
  </si>
  <si>
    <t>Cloudflare Free</t>
  </si>
  <si>
    <t>Plan/mes</t>
  </si>
  <si>
    <t>1</t>
  </si>
  <si>
    <t>Plan gratuito; 50 reglas de firewall, DDoS básico</t>
  </si>
  <si>
    <t>Brevo Starter</t>
  </si>
  <si>
    <t>Hasta 9.000 emails/mes, SMTP API</t>
  </si>
  <si>
    <t>SSL</t>
  </si>
  <si>
    <t>Cert/90 días</t>
  </si>
  <si>
    <t>Gratuito, renovación automática via Certbot</t>
  </si>
  <si>
    <t>DNS / Dominio</t>
  </si>
  <si>
    <t>Namecheap .com</t>
  </si>
  <si>
    <t>Registro/año</t>
  </si>
  <si>
    <t>Equivalente mensual: $4,167 COP</t>
  </si>
  <si>
    <t>Monitoring</t>
  </si>
  <si>
    <t>UptimeRobot Basic</t>
  </si>
  <si>
    <t>50 monitors, alertas cada 5 min</t>
  </si>
  <si>
    <t>TOTAL CLOUD</t>
  </si>
  <si>
    <t>MATRIZ DE RIESGOS — SISTEMA E-COMMERCE KNSTORE</t>
  </si>
  <si>
    <t>Escala de Probabilidad e Impacto: 1=Muy Bajo  2=Bajo  3=Moderado  4=Alto  5=Muy Alto  ·  Exposición = P × I</t>
  </si>
  <si>
    <t>ID</t>
  </si>
  <si>
    <t>Descripción del Riesgo</t>
  </si>
  <si>
    <t>Prob
(1-5)</t>
  </si>
  <si>
    <t>Impacto
(1-5)</t>
  </si>
  <si>
    <t>Exposición
(P × I)</t>
  </si>
  <si>
    <t>Nivel</t>
  </si>
  <si>
    <t>Plan de Mitigación</t>
  </si>
  <si>
    <t>Responsable</t>
  </si>
  <si>
    <t>Probabilidad
Residual</t>
  </si>
  <si>
    <t>Impacto
Residual</t>
  </si>
  <si>
    <t>R01</t>
  </si>
  <si>
    <t>Ataques de inyección SQL / XSS en formularios</t>
  </si>
  <si>
    <t>ALTO</t>
  </si>
  <si>
    <t>Uso de ORM, sanitización de inputs, Content Security Policy (CSP)</t>
  </si>
  <si>
    <t>Activo</t>
  </si>
  <si>
    <t>R02</t>
  </si>
  <si>
    <t>Disponibilidad</t>
  </si>
  <si>
    <t>Caída del servidor de hosting sin redundancia</t>
  </si>
  <si>
    <t>MEDIO</t>
  </si>
  <si>
    <t>SLA 99.9%, plan de recuperación, backups automáticos diarios</t>
  </si>
  <si>
    <t>R03</t>
  </si>
  <si>
    <t>Pagos</t>
  </si>
  <si>
    <t>Fallo o rechazo en pasarela de pagos integrada</t>
  </si>
  <si>
    <t>Integrar pasarela secundaria, reintentos automáticos, alertas</t>
  </si>
  <si>
    <t>R04</t>
  </si>
  <si>
    <t>Rendimiento</t>
  </si>
  <si>
    <t>Lentitud del sistema bajo tráfico moderado/alto</t>
  </si>
  <si>
    <t>Caché Redis, CDN para estáticos, optimización de consultas SQL</t>
  </si>
  <si>
    <t>R05</t>
  </si>
  <si>
    <t>Datos</t>
  </si>
  <si>
    <t>Pérdida de datos de clientes o inventario</t>
  </si>
  <si>
    <t>Backups diarios automáticos, replicación BD, punto de restauración</t>
  </si>
  <si>
    <t>R06</t>
  </si>
  <si>
    <t>Cumplimiento</t>
  </si>
  <si>
    <t>Incumplimiento Ley 1581 (Habeas Data Colombia)</t>
  </si>
  <si>
    <t>Política de privacidad, consentimiento explícito, PQRS registradas</t>
  </si>
  <si>
    <t>Equipo completo</t>
  </si>
  <si>
    <t>R07</t>
  </si>
  <si>
    <t>Equipo</t>
  </si>
  <si>
    <t>Rotación de alguno de los 4 integrantes del equipo</t>
  </si>
  <si>
    <t>Documentación técnica, knowledge transfer, wikis internas actualizadas</t>
  </si>
  <si>
    <t>PM / Líder</t>
  </si>
  <si>
    <t>R08</t>
  </si>
  <si>
    <t>Integración</t>
  </si>
  <si>
    <t>Fallos o cambios de API en servicios de terceros</t>
  </si>
  <si>
    <t>Manejo de errores robusto, timeouts, retry con backoff exponencial</t>
  </si>
  <si>
    <t>R09</t>
  </si>
  <si>
    <t>Escalabilidad</t>
  </si>
  <si>
    <t>Crecimiento de catálogo o usuarios no planificado</t>
  </si>
  <si>
    <t>Arquitectura modular, cloud escalable, paginación eficiente en BD</t>
  </si>
  <si>
    <t>R10</t>
  </si>
  <si>
    <t>Financiero</t>
  </si>
  <si>
    <t>Sobrecostos en desarrollo por mala estimación de horas</t>
  </si>
  <si>
    <t>Control semanal de horas, MVP primero, buffer del 20% en estimaciones</t>
  </si>
  <si>
    <t>R11</t>
  </si>
  <si>
    <t>Robo o filtración de datos de clientes (PII)</t>
  </si>
  <si>
    <t>HTTPS forzado, encriptación en reposo, auditoría de accesos mensual</t>
  </si>
  <si>
    <t>R12</t>
  </si>
  <si>
    <t>Mantenimiento</t>
  </si>
  <si>
    <t>Acumulación de deuda técnica por falta de refactoring</t>
  </si>
  <si>
    <t>Code reviews semanales, refactoring iterativo, estándares de código</t>
  </si>
  <si>
    <t>Equipo Dev</t>
  </si>
  <si>
    <t>R13</t>
  </si>
  <si>
    <t>Fraude</t>
  </si>
  <si>
    <t>Transacciones fraudulentas o contracargos (chargebacks)</t>
  </si>
  <si>
    <t>Validación 3DS, límites por IP, integración antifraude pasarela</t>
  </si>
  <si>
    <t>R14</t>
  </si>
  <si>
    <t>UX/Negocio</t>
  </si>
  <si>
    <t>Alta tasa de abandono en el carrito de compras</t>
  </si>
  <si>
    <t>A/B testing, checkout simplificado (&lt; 3 pasos), recuperación de carrito</t>
  </si>
  <si>
    <t>LEYENDA DE NIVELES DE RIESGO</t>
  </si>
  <si>
    <t>BAJO (1-4)</t>
  </si>
  <si>
    <t>Riesgo controlado — monitoreo rutinario</t>
  </si>
  <si>
    <t>MEDIO (5-9)</t>
  </si>
  <si>
    <t>Plan de mitigación activo requerido</t>
  </si>
  <si>
    <t>ALTO (10-15)</t>
  </si>
  <si>
    <t>Prioridad alta — acción inmediata del equipo</t>
  </si>
  <si>
    <t>CRÍTICO (16-25)</t>
  </si>
  <si>
    <t>Riesgo inaceptable — escalación a dirección</t>
  </si>
  <si>
    <t>MAPA DE CALOR DE RIESGOS (Probabilidad vs Impacto)</t>
  </si>
  <si>
    <t>↑ Impacto / Probabilidad →</t>
  </si>
  <si>
    <t>P=1</t>
  </si>
  <si>
    <t>P=2</t>
  </si>
  <si>
    <t>P=3</t>
  </si>
  <si>
    <t>P=4</t>
  </si>
  <si>
    <t>P=5</t>
  </si>
  <si>
    <t>I=5</t>
  </si>
  <si>
    <t>R03,R11</t>
  </si>
  <si>
    <t>20</t>
  </si>
  <si>
    <t>25</t>
  </si>
  <si>
    <t>I=4</t>
  </si>
  <si>
    <t>4</t>
  </si>
  <si>
    <t>R02,R06,R13</t>
  </si>
  <si>
    <t>16</t>
  </si>
  <si>
    <t>I=3</t>
  </si>
  <si>
    <t>3</t>
  </si>
  <si>
    <t>R08,R09</t>
  </si>
  <si>
    <t>R04,R10,R14</t>
  </si>
  <si>
    <t>12</t>
  </si>
  <si>
    <t>15</t>
  </si>
  <si>
    <t>I=2</t>
  </si>
  <si>
    <t>2</t>
  </si>
  <si>
    <t>8</t>
  </si>
  <si>
    <t>10</t>
  </si>
  <si>
    <t>I=1</t>
  </si>
  <si>
    <t>5</t>
  </si>
  <si>
    <t>GRÁFICOS — ANÁLISIS VISUAL DE COSTOS KNSTORE</t>
  </si>
  <si>
    <t>DATOS: CAPEX por Módulo</t>
  </si>
  <si>
    <t>DATOS: OPEX Anual por Categoría</t>
  </si>
  <si>
    <t>DATOS: Horizonte de Costos</t>
  </si>
  <si>
    <t>Módulo</t>
  </si>
  <si>
    <t>Costo (COP)</t>
  </si>
  <si>
    <t>Año</t>
  </si>
  <si>
    <t>OPEX Acumulado</t>
  </si>
  <si>
    <t>Total Acumulado</t>
  </si>
  <si>
    <t>Beneficio Net. Acum.</t>
  </si>
  <si>
    <t>Año 1</t>
  </si>
  <si>
    <t>Año 2</t>
  </si>
  <si>
    <t>Año 3</t>
  </si>
  <si>
    <t>Año 4</t>
  </si>
  <si>
    <t>Año 5</t>
  </si>
  <si>
    <t>DATOS: Exposición por Riesgo</t>
  </si>
  <si>
    <t>Descripción (corta)</t>
  </si>
  <si>
    <t>Exposición</t>
  </si>
  <si>
    <t>Ataques de inyección SQL / XSS en f…</t>
  </si>
  <si>
    <t>Caída del servidor de hosting sin r…</t>
  </si>
  <si>
    <t>Fallo o rechazo en pasarela de pago…</t>
  </si>
  <si>
    <t>Lentitud del sistema bajo tráfico m…</t>
  </si>
  <si>
    <t>Pérdida de datos de clientes o inve…</t>
  </si>
  <si>
    <t>Incumplimiento Ley 1581 (Habeas Dat…</t>
  </si>
  <si>
    <t>Rotación de alguno de los 4 integra…</t>
  </si>
  <si>
    <t>Fallos o cambios de API en servicio…</t>
  </si>
  <si>
    <t>Crecimiento de catálogo o usuarios …</t>
  </si>
  <si>
    <t>Sobrecostos en desarrollo por mala …</t>
  </si>
  <si>
    <t>Robo o filtración de datos de clien…</t>
  </si>
  <si>
    <t>Acumulación de deuda técnica por fa…</t>
  </si>
  <si>
    <t>Transacciones fraudulentas o contra…</t>
  </si>
  <si>
    <t>Alta tasa de abandono en el carrito…</t>
  </si>
  <si>
    <t>Equipo: 4 personas  ·  Moneda: COP  ·  Tasa dev: $60,000/h  ·  Versión: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</si>
</sst>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"/>
    <numFmt numFmtId="166" formatCode="0.0%"/>
    <numFmt numFmtId="167" formatCode="\$#,##0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1E5631"/>
      <name val="Arial"/>
      <charset val="1"/>
    </font>
    <font>
      <b/>
      <sz val="14"/>
      <color rgb="FFFFFFFF"/>
      <name val="Arial"/>
      <charset val="1"/>
    </font>
    <font>
      <b/>
      <sz val="10"/>
      <color rgb="FF5B2C8D"/>
      <name val="Arial"/>
      <charset val="1"/>
    </font>
    <font>
      <b/>
      <sz val="10"/>
      <color rgb="FFFFFFFF"/>
      <name val="Arial"/>
      <charset val="1"/>
    </font>
    <font>
      <sz val="10"/>
      <color rgb="FF595959"/>
      <name val="Arial"/>
      <charset val="1"/>
    </font>
    <font>
      <sz val="9"/>
      <color rgb="FF7D4800"/>
      <name val="Arial"/>
      <charset val="1"/>
    </font>
    <font>
      <sz val="10"/>
      <color rgb="FFFFFFFF"/>
      <name val="Arial"/>
      <charset val="1"/>
    </font>
    <font>
      <sz val="10"/>
      <color rgb="FF1E5631"/>
      <name val="Arial"/>
      <charset val="1"/>
    </font>
    <font>
      <sz val="8"/>
      <color rgb="FF000000"/>
      <name val="Arial"/>
      <charset val="1"/>
    </font>
    <font>
      <sz val="8"/>
      <color rgb="FFFFFFFF"/>
      <name val="Arial"/>
      <charset val="1"/>
    </font>
    <font>
      <b/>
      <sz val="10"/>
      <color rgb="FFC55A11"/>
      <name val="Arial"/>
      <charset val="1"/>
    </font>
    <font>
      <b/>
      <sz val="10"/>
      <color rgb="FFC0392B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E5631"/>
      </patternFill>
    </fill>
    <fill>
      <patternFill patternType="solid">
        <fgColor rgb="FF2E75B6"/>
        <bgColor rgb="FF4672A8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55A11"/>
        <bgColor rgb="FFAB4744"/>
      </patternFill>
    </fill>
    <fill>
      <patternFill patternType="solid">
        <fgColor rgb="FFE2EFDA"/>
        <bgColor rgb="FFF2F2F2"/>
      </patternFill>
    </fill>
    <fill>
      <patternFill patternType="solid">
        <fgColor rgb="FF5B2C8D"/>
        <bgColor rgb="FF1F3864"/>
      </patternFill>
    </fill>
    <fill>
      <patternFill patternType="solid">
        <fgColor rgb="FFEAD6F5"/>
        <bgColor rgb="FFD9D9D9"/>
      </patternFill>
    </fill>
    <fill>
      <patternFill patternType="solid">
        <fgColor rgb="FF1E5631"/>
        <bgColor rgb="FF375623"/>
      </patternFill>
    </fill>
    <fill>
      <patternFill patternType="solid">
        <fgColor rgb="FF375623"/>
        <bgColor rgb="FF1E5631"/>
      </patternFill>
    </fill>
    <fill>
      <patternFill patternType="solid">
        <fgColor rgb="FF8B3D00"/>
        <bgColor rgb="FF7D4800"/>
      </patternFill>
    </fill>
    <fill>
      <patternFill patternType="solid">
        <fgColor rgb="FFFFF2CC"/>
        <bgColor rgb="FFFCE4D6"/>
      </patternFill>
    </fill>
    <fill>
      <patternFill patternType="solid">
        <fgColor rgb="FF0070C0"/>
        <bgColor rgb="FF0055A0"/>
      </patternFill>
    </fill>
    <fill>
      <patternFill patternType="solid">
        <fgColor rgb="FF0055A0"/>
        <bgColor rgb="FF0070C0"/>
      </patternFill>
    </fill>
    <fill>
      <patternFill patternType="solid">
        <fgColor rgb="FFC0392B"/>
        <bgColor rgb="FFAB4744"/>
      </patternFill>
    </fill>
    <fill>
      <patternFill patternType="solid">
        <fgColor rgb="FF922B21"/>
        <bgColor rgb="FF8B3D00"/>
      </patternFill>
    </fill>
    <fill>
      <patternFill patternType="solid">
        <fgColor rgb="FFFF6600"/>
        <bgColor rgb="FFC55A11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B8CD97"/>
      </patternFill>
    </fill>
    <fill>
      <patternFill patternType="solid">
        <fgColor rgb="FFC00044"/>
        <bgColor rgb="FFC00000"/>
      </patternFill>
    </fill>
    <fill>
      <patternFill patternType="solid">
        <fgColor rgb="FF660044"/>
        <bgColor rgb="FF800080"/>
      </patternFill>
    </fill>
    <fill>
      <patternFill patternType="solid">
        <fgColor rgb="FFC00000"/>
        <bgColor rgb="FFC00044"/>
      </patternFill>
    </fill>
    <fill>
      <patternFill patternType="solid">
        <fgColor rgb="FF000044"/>
        <bgColor rgb="FF000080"/>
      </patternFill>
    </fill>
    <fill>
      <patternFill patternType="solid">
        <fgColor rgb="FFFCE4D6"/>
        <bgColor rgb="FFFADBD8"/>
      </patternFill>
    </fill>
    <fill>
      <patternFill patternType="solid">
        <fgColor rgb="FFFADBD8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16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right" vertical="center" wrapText="1"/>
    </xf>
    <xf numFmtId="164" fontId="7" fillId="5" borderId="2" xfId="0" applyNumberFormat="1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right" vertical="center" wrapText="1"/>
    </xf>
    <xf numFmtId="164" fontId="7" fillId="6" borderId="2" xfId="0" applyNumberFormat="1" applyFont="1" applyFill="1" applyBorder="1" applyAlignment="1">
      <alignment horizontal="right" vertical="center" wrapText="1"/>
    </xf>
    <xf numFmtId="0" fontId="7" fillId="6" borderId="2" xfId="0" applyFont="1" applyFill="1" applyBorder="1" applyAlignment="1">
      <alignment horizontal="left" vertical="center" wrapText="1"/>
    </xf>
    <xf numFmtId="165" fontId="6" fillId="6" borderId="2" xfId="0" applyNumberFormat="1" applyFont="1" applyFill="1" applyBorder="1" applyAlignment="1">
      <alignment horizontal="right" vertical="center" wrapText="1"/>
    </xf>
    <xf numFmtId="166" fontId="6" fillId="5" borderId="2" xfId="0" applyNumberFormat="1" applyFont="1" applyFill="1" applyBorder="1" applyAlignment="1">
      <alignment horizontal="right" vertical="center" wrapText="1"/>
    </xf>
    <xf numFmtId="166" fontId="6" fillId="6" borderId="2" xfId="0" applyNumberFormat="1" applyFont="1" applyFill="1" applyBorder="1" applyAlignment="1">
      <alignment horizontal="right" vertical="center" wrapText="1"/>
    </xf>
    <xf numFmtId="165" fontId="6" fillId="5" borderId="2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right" vertical="center" wrapText="1"/>
    </xf>
    <xf numFmtId="0" fontId="7" fillId="6" borderId="2" xfId="0" applyFont="1" applyFill="1" applyBorder="1" applyAlignment="1">
      <alignment horizontal="center" vertical="center" wrapText="1"/>
    </xf>
    <xf numFmtId="167" fontId="6" fillId="5" borderId="2" xfId="0" applyNumberFormat="1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horizontal="center" vertical="center" wrapText="1"/>
    </xf>
    <xf numFmtId="167" fontId="6" fillId="6" borderId="2" xfId="0" applyNumberFormat="1" applyFont="1" applyFill="1" applyBorder="1" applyAlignment="1">
      <alignment horizontal="right" vertical="center" wrapText="1"/>
    </xf>
    <xf numFmtId="3" fontId="6" fillId="5" borderId="2" xfId="0" applyNumberFormat="1" applyFont="1" applyFill="1" applyBorder="1" applyAlignment="1">
      <alignment horizontal="right" vertical="center" wrapText="1"/>
    </xf>
    <xf numFmtId="9" fontId="6" fillId="5" borderId="2" xfId="0" applyNumberFormat="1" applyFont="1" applyFill="1" applyBorder="1" applyAlignment="1">
      <alignment horizontal="right" vertical="center" wrapText="1"/>
    </xf>
    <xf numFmtId="0" fontId="11" fillId="11" borderId="2" xfId="0" applyFont="1" applyFill="1" applyBorder="1" applyAlignment="1">
      <alignment horizontal="center" vertical="center" wrapText="1"/>
    </xf>
    <xf numFmtId="3" fontId="6" fillId="6" borderId="2" xfId="0" applyNumberFormat="1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3" fontId="6" fillId="5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3" fontId="11" fillId="11" borderId="2" xfId="0" applyNumberFormat="1" applyFont="1" applyFill="1" applyBorder="1" applyAlignment="1">
      <alignment horizontal="center" vertical="center" wrapText="1"/>
    </xf>
    <xf numFmtId="164" fontId="11" fillId="11" borderId="2" xfId="0" applyNumberFormat="1" applyFont="1" applyFill="1" applyBorder="1" applyAlignment="1">
      <alignment horizontal="right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64" fontId="11" fillId="7" borderId="2" xfId="0" applyNumberFormat="1" applyFont="1" applyFill="1" applyBorder="1" applyAlignment="1">
      <alignment horizontal="right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164" fontId="11" fillId="15" borderId="2" xfId="0" applyNumberFormat="1" applyFont="1" applyFill="1" applyBorder="1" applyAlignment="1">
      <alignment horizontal="right" vertical="center" wrapText="1"/>
    </xf>
    <xf numFmtId="0" fontId="11" fillId="17" borderId="2" xfId="0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1" fontId="7" fillId="6" borderId="2" xfId="0" applyNumberFormat="1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1" fontId="7" fillId="5" borderId="2" xfId="0" applyNumberFormat="1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11" fillId="2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17" fillId="24" borderId="2" xfId="0" applyFont="1" applyFill="1" applyBorder="1" applyAlignment="1">
      <alignment horizontal="center" vertical="center" wrapText="1"/>
    </xf>
    <xf numFmtId="0" fontId="16" fillId="21" borderId="2" xfId="0" applyFont="1" applyFill="1" applyBorder="1" applyAlignment="1">
      <alignment horizontal="center" vertical="center" wrapText="1"/>
    </xf>
    <xf numFmtId="0" fontId="18" fillId="26" borderId="2" xfId="0" applyFont="1" applyFill="1" applyBorder="1" applyAlignment="1">
      <alignment horizontal="center" vertical="center" wrapText="1"/>
    </xf>
    <xf numFmtId="0" fontId="19" fillId="27" borderId="2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14" fillId="23" borderId="1" xfId="0" applyFont="1" applyFill="1" applyBorder="1" applyAlignment="1">
      <alignment horizontal="left" vertical="center" wrapText="1"/>
    </xf>
    <xf numFmtId="0" fontId="14" fillId="25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D4800"/>
      <rgbColor rgb="FF008000"/>
      <rgbColor rgb="FF000044"/>
      <rgbColor rgb="FF8AA64F"/>
      <rgbColor rgb="FFC00044"/>
      <rgbColor rgb="FF0055A0"/>
      <rgbColor rgb="FFB8CD97"/>
      <rgbColor rgb="FF878787"/>
      <rgbColor rgb="FF93A9CE"/>
      <rgbColor rgb="FFAB4744"/>
      <rgbColor rgb="FFFFF2CC"/>
      <rgbColor rgb="FFF2F2F2"/>
      <rgbColor rgb="FF660044"/>
      <rgbColor rgb="FFDC853E"/>
      <rgbColor rgb="FF0070C0"/>
      <rgbColor rgb="FFBDD7EE"/>
      <rgbColor rgb="FF000080"/>
      <rgbColor rgb="FFFF00FF"/>
      <rgbColor rgb="FFFFFF00"/>
      <rgbColor rgb="FF00FFFF"/>
      <rgbColor rgb="FF800080"/>
      <rgbColor rgb="FFC0392B"/>
      <rgbColor rgb="FF4672A8"/>
      <rgbColor rgb="FF0000FF"/>
      <rgbColor rgb="FF00CCFF"/>
      <rgbColor rgb="FFF9F9F9"/>
      <rgbColor rgb="FFE2EFDA"/>
      <rgbColor rgb="FFFCE4D6"/>
      <rgbColor rgb="FFD9D9D9"/>
      <rgbColor rgb="FFD09493"/>
      <rgbColor rgb="FFEAD6F5"/>
      <rgbColor rgb="FFFADBD8"/>
      <rgbColor rgb="FF2E75B6"/>
      <rgbColor rgb="FF4F81BD"/>
      <rgbColor rgb="FF92D050"/>
      <rgbColor rgb="FFFFC000"/>
      <rgbColor rgb="FFC55A11"/>
      <rgbColor rgb="FFFF6600"/>
      <rgbColor rgb="FF725990"/>
      <rgbColor rgb="FFA99BBD"/>
      <rgbColor rgb="FF1F3864"/>
      <rgbColor rgb="FF4299B0"/>
      <rgbColor rgb="FF595959"/>
      <rgbColor rgb="FF1E5631"/>
      <rgbColor rgb="FF8B3D00"/>
      <rgbColor rgb="FF922B21"/>
      <rgbColor rgb="FF5B2C8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CAPEX por Módulo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Gráficos!$C$4</c:f>
              <c:strCache>
                <c:ptCount val="1"/>
                <c:pt idx="0">
                  <c:v>Costo (COP)</c:v>
                </c:pt>
              </c:strCache>
            </c:strRef>
          </c:tx>
          <c:spPr>
            <a:solidFill>
              <a:srgbClr val="1E56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Gráficos!$A$5:$A$14</c:f>
              <c:strCache>
                <c:ptCount val="10"/>
                <c:pt idx="0">
                  <c:v>API REST</c:v>
                </c:pt>
                <c:pt idx="1">
                  <c:v>Base de Datos</c:v>
                </c:pt>
                <c:pt idx="2">
                  <c:v>Seguridad</c:v>
                </c:pt>
                <c:pt idx="3">
                  <c:v>Integraciones</c:v>
                </c:pt>
                <c:pt idx="4">
                  <c:v>Checkout Seguro</c:v>
                </c:pt>
                <c:pt idx="5">
                  <c:v>Panel Administrador</c:v>
                </c:pt>
                <c:pt idx="6">
                  <c:v>Diseño UI/UX</c:v>
                </c:pt>
                <c:pt idx="7">
                  <c:v>Catálogo Interactivo</c:v>
                </c:pt>
                <c:pt idx="8">
                  <c:v>Carrito de Compras</c:v>
                </c:pt>
                <c:pt idx="9">
                  <c:v>Responsive Design</c:v>
                </c:pt>
              </c:strCache>
            </c:strRef>
          </c:cat>
          <c:val>
            <c:numRef>
              <c:f>Gráficos!$C$5:$C$14</c:f>
              <c:numCache>
                <c:formatCode>#,##0;\(#,##0\);\-</c:formatCode>
                <c:ptCount val="10"/>
                <c:pt idx="0">
                  <c:v>1800000</c:v>
                </c:pt>
                <c:pt idx="1">
                  <c:v>2100000</c:v>
                </c:pt>
                <c:pt idx="2">
                  <c:v>2100000</c:v>
                </c:pt>
                <c:pt idx="3">
                  <c:v>2400000</c:v>
                </c:pt>
                <c:pt idx="4">
                  <c:v>1500000</c:v>
                </c:pt>
                <c:pt idx="5">
                  <c:v>2280000</c:v>
                </c:pt>
                <c:pt idx="6">
                  <c:v>2700000</c:v>
                </c:pt>
                <c:pt idx="7">
                  <c:v>1800000</c:v>
                </c:pt>
                <c:pt idx="8">
                  <c:v>1800000</c:v>
                </c:pt>
                <c:pt idx="9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6-4C1F-A0DD-2BBA8D04D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40904"/>
        <c:axId val="35783837"/>
      </c:barChart>
      <c:catAx>
        <c:axId val="39440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5783837"/>
        <c:crosses val="autoZero"/>
        <c:auto val="1"/>
        <c:lblAlgn val="ctr"/>
        <c:lblOffset val="100"/>
        <c:noMultiLvlLbl val="0"/>
      </c:catAx>
      <c:valAx>
        <c:axId val="35783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Costo (COP)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9440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Distribución OPEX Anual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Gráficos!$G$4</c:f>
              <c:strCache>
                <c:ptCount val="1"/>
                <c:pt idx="0">
                  <c:v>Costo Anual (COP)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6E3-4CFC-B95A-94E84EFDDB16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6E3-4CFC-B95A-94E84EFDDB16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6E3-4CFC-B95A-94E84EFDDB16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6E3-4CFC-B95A-94E84EFDDB16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6E3-4CFC-B95A-94E84EFDDB16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6E3-4CFC-B95A-94E84EFDDB16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6E3-4CFC-B95A-94E84EFDDB16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6E3-4CFC-B95A-94E84EFDDB16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36E3-4CFC-B95A-94E84EFDDB16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36E3-4CFC-B95A-94E84EFDDB1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6E3-4CFC-B95A-94E84EFDDB1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6E3-4CFC-B95A-94E84EFDDB1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6E3-4CFC-B95A-94E84EFDDB1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6E3-4CFC-B95A-94E84EFDDB1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6E3-4CFC-B95A-94E84EFDDB16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6E3-4CFC-B95A-94E84EFDDB16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36E3-4CFC-B95A-94E84EFDDB16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36E3-4CFC-B95A-94E84EFDDB16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36E3-4CFC-B95A-94E84EFDDB16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36E3-4CFC-B95A-94E84EFDDB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Gráficos!$F$5:$F$14</c:f>
              <c:strCache>
                <c:ptCount val="10"/>
                <c:pt idx="0">
                  <c:v>Hosting Cloud</c:v>
                </c:pt>
                <c:pt idx="1">
                  <c:v>Dominio</c:v>
                </c:pt>
                <c:pt idx="2">
                  <c:v>SSL / HTTPS</c:v>
                </c:pt>
                <c:pt idx="3">
                  <c:v>CDN</c:v>
                </c:pt>
                <c:pt idx="4">
                  <c:v>Email Transaccional</c:v>
                </c:pt>
                <c:pt idx="5">
                  <c:v>Pasarela de Pagos</c:v>
                </c:pt>
                <c:pt idx="6">
                  <c:v>Monitoreo / Uptime</c:v>
                </c:pt>
                <c:pt idx="7">
                  <c:v>Mantenimiento Sistema</c:v>
                </c:pt>
                <c:pt idx="8">
                  <c:v>Backup / Storage</c:v>
                </c:pt>
                <c:pt idx="9">
                  <c:v>Licencias / Herramientas</c:v>
                </c:pt>
              </c:strCache>
            </c:strRef>
          </c:cat>
          <c:val>
            <c:numRef>
              <c:f>Gráficos!$G$5:$G$14</c:f>
              <c:numCache>
                <c:formatCode>#,##0;\(#,##0\);\-</c:formatCode>
                <c:ptCount val="10"/>
                <c:pt idx="0">
                  <c:v>780000</c:v>
                </c:pt>
                <c:pt idx="1">
                  <c:v>50000</c:v>
                </c:pt>
                <c:pt idx="2">
                  <c:v>0</c:v>
                </c:pt>
                <c:pt idx="3">
                  <c:v>0</c:v>
                </c:pt>
                <c:pt idx="4">
                  <c:v>480000</c:v>
                </c:pt>
                <c:pt idx="5">
                  <c:v>600000</c:v>
                </c:pt>
                <c:pt idx="6">
                  <c:v>360000</c:v>
                </c:pt>
                <c:pt idx="7">
                  <c:v>2880000</c:v>
                </c:pt>
                <c:pt idx="8">
                  <c:v>240000</c:v>
                </c:pt>
                <c:pt idx="9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6E3-4CFC-B95A-94E84EFDD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Exposición de Riesgos (Probabilidad × Impacto)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Gráficos!$C$17</c:f>
              <c:strCache>
                <c:ptCount val="1"/>
                <c:pt idx="0">
                  <c:v>Exposición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Gráficos!$A$18:$A$31</c:f>
              <c:strCache>
                <c:ptCount val="14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</c:strCache>
            </c:strRef>
          </c:cat>
          <c:val>
            <c:numRef>
              <c:f>Gráficos!$C$18:$C$31</c:f>
              <c:numCache>
                <c:formatCode>0</c:formatCode>
                <c:ptCount val="14"/>
                <c:pt idx="0">
                  <c:v>15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10</c:v>
                </c:pt>
                <c:pt idx="11">
                  <c:v>6</c:v>
                </c:pt>
                <c:pt idx="12">
                  <c:v>8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E-46F9-8714-F86D9915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13828"/>
        <c:axId val="67164144"/>
      </c:barChart>
      <c:catAx>
        <c:axId val="2261382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Exposición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7164144"/>
        <c:crosses val="autoZero"/>
        <c:auto val="1"/>
        <c:lblAlgn val="ctr"/>
        <c:lblOffset val="100"/>
        <c:noMultiLvlLbl val="0"/>
      </c:catAx>
      <c:valAx>
        <c:axId val="671641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Riesgo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26138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Horizonte de Costos Acumulados vs Beneficio Neto (5 años)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Gráficos!$N$4</c:f>
              <c:strCache>
                <c:ptCount val="1"/>
                <c:pt idx="0">
                  <c:v>Total Acumulado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Gráficos!$K$5:$K$9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Gráficos!$N$5:$N$9</c:f>
              <c:numCache>
                <c:formatCode>#,##0;\(#,##0\);\-</c:formatCode>
                <c:ptCount val="5"/>
                <c:pt idx="0">
                  <c:v>25170000</c:v>
                </c:pt>
                <c:pt idx="1">
                  <c:v>30660000</c:v>
                </c:pt>
                <c:pt idx="2">
                  <c:v>36150000</c:v>
                </c:pt>
                <c:pt idx="3">
                  <c:v>41640000</c:v>
                </c:pt>
                <c:pt idx="4">
                  <c:v>47130000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F-49A3-9D71-37E3BF423684}"/>
            </c:ext>
          </c:extLst>
        </c:ser>
        <c:ser>
          <c:idx val="1"/>
          <c:order val="1"/>
          <c:tx>
            <c:strRef>
              <c:f>Gráficos!$O$4</c:f>
              <c:strCache>
                <c:ptCount val="1"/>
                <c:pt idx="0">
                  <c:v>Beneficio Net. Acum.</c:v>
                </c:pt>
              </c:strCache>
            </c:strRef>
          </c:tx>
          <c:spPr>
            <a:solidFill>
              <a:srgbClr val="1E56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Gráficos!$K$5:$K$9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Gráficos!$O$5:$O$9</c:f>
              <c:numCache>
                <c:formatCode>#,##0;\(#,##0\);\-</c:formatCode>
                <c:ptCount val="5"/>
                <c:pt idx="0">
                  <c:v>4110000</c:v>
                </c:pt>
                <c:pt idx="1">
                  <c:v>8220000</c:v>
                </c:pt>
                <c:pt idx="2">
                  <c:v>12330000</c:v>
                </c:pt>
                <c:pt idx="3">
                  <c:v>16440000</c:v>
                </c:pt>
                <c:pt idx="4">
                  <c:v>20550000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F-49A3-9D71-37E3BF42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44943"/>
        <c:axId val="73240201"/>
      </c:barChart>
      <c:catAx>
        <c:axId val="20244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3240201"/>
        <c:crosses val="autoZero"/>
        <c:auto val="1"/>
        <c:lblAlgn val="ctr"/>
        <c:lblOffset val="100"/>
        <c:noMultiLvlLbl val="0"/>
      </c:catAx>
      <c:valAx>
        <c:axId val="73240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0244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547077</xdr:colOff>
      <xdr:row>16</xdr:row>
      <xdr:rowOff>155847</xdr:rowOff>
    </xdr:from>
    <xdr:to>
      <xdr:col>22</xdr:col>
      <xdr:colOff>438892</xdr:colOff>
      <xdr:row>25</xdr:row>
      <xdr:rowOff>456847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58615</xdr:colOff>
      <xdr:row>27</xdr:row>
      <xdr:rowOff>234000</xdr:rowOff>
    </xdr:from>
    <xdr:to>
      <xdr:col>11</xdr:col>
      <xdr:colOff>882295</xdr:colOff>
      <xdr:row>46</xdr:row>
      <xdr:rowOff>85616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664308</xdr:colOff>
      <xdr:row>27</xdr:row>
      <xdr:rowOff>816</xdr:rowOff>
    </xdr:from>
    <xdr:to>
      <xdr:col>22</xdr:col>
      <xdr:colOff>556123</xdr:colOff>
      <xdr:row>46</xdr:row>
      <xdr:rowOff>115693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312616</xdr:colOff>
      <xdr:row>16</xdr:row>
      <xdr:rowOff>97230</xdr:rowOff>
    </xdr:from>
    <xdr:to>
      <xdr:col>12</xdr:col>
      <xdr:colOff>279493</xdr:colOff>
      <xdr:row>26</xdr:row>
      <xdr:rowOff>250230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34"/>
  <sheetViews>
    <sheetView showGridLines="0" zoomScaleNormal="100" workbookViewId="0">
      <selection activeCell="A2" sqref="A2:H2"/>
    </sheetView>
  </sheetViews>
  <sheetFormatPr baseColWidth="10" defaultColWidth="8.6640625" defaultRowHeight="14.4" x14ac:dyDescent="0.3"/>
  <cols>
    <col min="1" max="1" width="28" customWidth="1"/>
    <col min="2" max="4" width="22" customWidth="1"/>
    <col min="5" max="5" width="45" customWidth="1"/>
    <col min="6" max="8" width="12" customWidth="1"/>
  </cols>
  <sheetData>
    <row r="1" spans="1:8" ht="42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75" customHeight="1" x14ac:dyDescent="0.3">
      <c r="A2" s="13" t="s">
        <v>381</v>
      </c>
      <c r="B2" s="13"/>
      <c r="C2" s="13"/>
      <c r="D2" s="13"/>
      <c r="E2" s="13"/>
      <c r="F2" s="13"/>
      <c r="G2" s="13"/>
      <c r="H2" s="13"/>
    </row>
    <row r="3" spans="1:8" ht="7.5" customHeight="1" x14ac:dyDescent="0.3"/>
    <row r="4" spans="1:8" ht="21.75" customHeight="1" x14ac:dyDescent="0.3">
      <c r="A4" s="12" t="s">
        <v>1</v>
      </c>
      <c r="B4" s="12"/>
      <c r="C4" s="12"/>
      <c r="D4" s="12"/>
      <c r="E4" s="12"/>
      <c r="F4" s="12"/>
      <c r="G4" s="12"/>
      <c r="H4" s="12"/>
    </row>
    <row r="5" spans="1:8" ht="21.75" customHeight="1" x14ac:dyDescent="0.3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</row>
    <row r="6" spans="1:8" x14ac:dyDescent="0.3">
      <c r="A6" s="16" t="s">
        <v>7</v>
      </c>
      <c r="B6" s="17">
        <v>19680000</v>
      </c>
      <c r="C6" s="18"/>
      <c r="D6" s="18"/>
      <c r="E6" s="19" t="s">
        <v>8</v>
      </c>
    </row>
    <row r="7" spans="1:8" ht="26.4" x14ac:dyDescent="0.3">
      <c r="A7" s="20" t="s">
        <v>9</v>
      </c>
      <c r="B7" s="21">
        <v>5490000</v>
      </c>
      <c r="C7" s="22">
        <v>16470000</v>
      </c>
      <c r="D7" s="22">
        <v>27450000</v>
      </c>
      <c r="E7" s="23" t="s">
        <v>10</v>
      </c>
    </row>
    <row r="8" spans="1:8" x14ac:dyDescent="0.3">
      <c r="A8" s="16" t="s">
        <v>11</v>
      </c>
      <c r="B8" s="17">
        <v>25170000</v>
      </c>
      <c r="C8" s="18"/>
      <c r="D8" s="18"/>
      <c r="E8" s="19" t="s">
        <v>12</v>
      </c>
    </row>
    <row r="9" spans="1:8" x14ac:dyDescent="0.3">
      <c r="A9" s="20" t="s">
        <v>13</v>
      </c>
      <c r="B9" s="21">
        <v>36150000</v>
      </c>
      <c r="C9" s="22"/>
      <c r="D9" s="22"/>
      <c r="E9" s="23" t="s">
        <v>14</v>
      </c>
    </row>
    <row r="10" spans="1:8" x14ac:dyDescent="0.3">
      <c r="A10" s="16" t="s">
        <v>15</v>
      </c>
      <c r="B10" s="17">
        <v>47130000</v>
      </c>
      <c r="C10" s="18"/>
      <c r="D10" s="18"/>
      <c r="E10" s="19" t="s">
        <v>16</v>
      </c>
    </row>
    <row r="11" spans="1:8" x14ac:dyDescent="0.3">
      <c r="A11" s="20" t="s">
        <v>17</v>
      </c>
      <c r="B11" s="24">
        <v>328</v>
      </c>
      <c r="C11" s="22"/>
      <c r="D11" s="22"/>
      <c r="E11" s="23" t="s">
        <v>18</v>
      </c>
    </row>
    <row r="12" spans="1:8" x14ac:dyDescent="0.3">
      <c r="A12" s="16" t="s">
        <v>19</v>
      </c>
      <c r="B12" s="17">
        <v>48000000</v>
      </c>
      <c r="C12" s="18"/>
      <c r="D12" s="18"/>
      <c r="E12" s="19" t="s">
        <v>20</v>
      </c>
    </row>
    <row r="13" spans="1:8" ht="26.4" x14ac:dyDescent="0.3">
      <c r="A13" s="20" t="s">
        <v>21</v>
      </c>
      <c r="B13" s="21">
        <v>4110000</v>
      </c>
      <c r="C13" s="22"/>
      <c r="D13" s="22"/>
      <c r="E13" s="23" t="s">
        <v>22</v>
      </c>
    </row>
    <row r="14" spans="1:8" x14ac:dyDescent="0.3">
      <c r="A14" s="16" t="s">
        <v>23</v>
      </c>
      <c r="B14" s="25">
        <v>-0.373475609756098</v>
      </c>
      <c r="C14" s="18"/>
      <c r="D14" s="18"/>
      <c r="E14" s="19" t="s">
        <v>24</v>
      </c>
    </row>
    <row r="15" spans="1:8" x14ac:dyDescent="0.3">
      <c r="A15" s="20" t="s">
        <v>25</v>
      </c>
      <c r="B15" s="26">
        <v>4.4207317073170702E-2</v>
      </c>
      <c r="C15" s="22"/>
      <c r="D15" s="22"/>
      <c r="E15" s="23" t="s">
        <v>26</v>
      </c>
    </row>
    <row r="16" spans="1:8" x14ac:dyDescent="0.3">
      <c r="A16" s="16" t="s">
        <v>27</v>
      </c>
      <c r="B16" s="27">
        <v>4.7883211678832103</v>
      </c>
      <c r="C16" s="18"/>
      <c r="D16" s="18"/>
      <c r="E16" s="19" t="s">
        <v>28</v>
      </c>
    </row>
    <row r="17" spans="1:8" ht="7.5" customHeight="1" x14ac:dyDescent="0.3"/>
    <row r="18" spans="1:8" ht="21.75" customHeight="1" x14ac:dyDescent="0.3">
      <c r="A18" s="11" t="s">
        <v>29</v>
      </c>
      <c r="B18" s="11"/>
      <c r="C18" s="11"/>
      <c r="D18" s="11"/>
      <c r="E18" s="11"/>
      <c r="F18" s="11"/>
      <c r="G18" s="11"/>
      <c r="H18" s="11"/>
    </row>
    <row r="19" spans="1:8" x14ac:dyDescent="0.3">
      <c r="A19" s="15" t="s">
        <v>30</v>
      </c>
      <c r="B19" s="15" t="s">
        <v>31</v>
      </c>
      <c r="C19" s="15" t="s">
        <v>32</v>
      </c>
    </row>
    <row r="20" spans="1:8" ht="52.8" x14ac:dyDescent="0.3">
      <c r="A20" s="28" t="s">
        <v>33</v>
      </c>
      <c r="B20" s="19" t="s">
        <v>34</v>
      </c>
      <c r="C20" s="29" t="s">
        <v>35</v>
      </c>
    </row>
    <row r="21" spans="1:8" ht="52.8" x14ac:dyDescent="0.3">
      <c r="A21" s="30" t="s">
        <v>33</v>
      </c>
      <c r="B21" s="23" t="s">
        <v>36</v>
      </c>
      <c r="C21" s="29" t="s">
        <v>35</v>
      </c>
    </row>
    <row r="22" spans="1:8" ht="52.8" x14ac:dyDescent="0.3">
      <c r="A22" s="28" t="s">
        <v>33</v>
      </c>
      <c r="B22" s="19" t="s">
        <v>37</v>
      </c>
      <c r="C22" s="29" t="s">
        <v>35</v>
      </c>
    </row>
    <row r="23" spans="1:8" ht="52.8" x14ac:dyDescent="0.3">
      <c r="A23" s="30" t="s">
        <v>33</v>
      </c>
      <c r="B23" s="23" t="s">
        <v>38</v>
      </c>
      <c r="C23" s="29" t="s">
        <v>35</v>
      </c>
    </row>
    <row r="24" spans="1:8" ht="39.6" x14ac:dyDescent="0.3">
      <c r="A24" s="28" t="s">
        <v>39</v>
      </c>
      <c r="B24" s="19" t="s">
        <v>40</v>
      </c>
      <c r="C24" s="29" t="s">
        <v>35</v>
      </c>
    </row>
    <row r="25" spans="1:8" ht="39.6" x14ac:dyDescent="0.3">
      <c r="A25" s="30" t="s">
        <v>39</v>
      </c>
      <c r="B25" s="23" t="s">
        <v>41</v>
      </c>
      <c r="C25" s="29" t="s">
        <v>35</v>
      </c>
    </row>
    <row r="26" spans="1:8" ht="39.6" x14ac:dyDescent="0.3">
      <c r="A26" s="28" t="s">
        <v>39</v>
      </c>
      <c r="B26" s="19" t="s">
        <v>42</v>
      </c>
      <c r="C26" s="29" t="s">
        <v>35</v>
      </c>
    </row>
    <row r="27" spans="1:8" ht="52.8" x14ac:dyDescent="0.3">
      <c r="A27" s="30" t="s">
        <v>39</v>
      </c>
      <c r="B27" s="23" t="s">
        <v>43</v>
      </c>
      <c r="C27" s="29" t="s">
        <v>35</v>
      </c>
    </row>
    <row r="28" spans="1:8" ht="52.8" x14ac:dyDescent="0.3">
      <c r="A28" s="28" t="s">
        <v>39</v>
      </c>
      <c r="B28" s="19" t="s">
        <v>44</v>
      </c>
      <c r="C28" s="29" t="s">
        <v>35</v>
      </c>
    </row>
    <row r="29" spans="1:8" ht="52.8" x14ac:dyDescent="0.3">
      <c r="A29" s="30" t="s">
        <v>39</v>
      </c>
      <c r="B29" s="23" t="s">
        <v>45</v>
      </c>
      <c r="C29" s="29" t="s">
        <v>35</v>
      </c>
    </row>
    <row r="30" spans="1:8" ht="52.8" x14ac:dyDescent="0.3">
      <c r="A30" s="28" t="s">
        <v>46</v>
      </c>
      <c r="B30" s="19" t="s">
        <v>47</v>
      </c>
      <c r="C30" s="29" t="s">
        <v>35</v>
      </c>
    </row>
    <row r="31" spans="1:8" ht="52.8" x14ac:dyDescent="0.3">
      <c r="A31" s="30" t="s">
        <v>46</v>
      </c>
      <c r="B31" s="23" t="s">
        <v>48</v>
      </c>
      <c r="C31" s="29" t="s">
        <v>35</v>
      </c>
    </row>
    <row r="32" spans="1:8" ht="39.6" x14ac:dyDescent="0.3">
      <c r="A32" s="28" t="s">
        <v>49</v>
      </c>
      <c r="B32" s="19" t="s">
        <v>50</v>
      </c>
      <c r="C32" s="29" t="s">
        <v>51</v>
      </c>
    </row>
    <row r="33" spans="1:3" ht="52.8" x14ac:dyDescent="0.3">
      <c r="A33" s="30" t="s">
        <v>52</v>
      </c>
      <c r="B33" s="23" t="s">
        <v>53</v>
      </c>
      <c r="C33" s="29" t="s">
        <v>51</v>
      </c>
    </row>
    <row r="34" spans="1:3" ht="52.8" x14ac:dyDescent="0.3">
      <c r="A34" s="28" t="s">
        <v>54</v>
      </c>
      <c r="B34" s="19" t="s">
        <v>55</v>
      </c>
      <c r="C34" s="29" t="s">
        <v>51</v>
      </c>
    </row>
  </sheetData>
  <mergeCells count="4">
    <mergeCell ref="A1:H1"/>
    <mergeCell ref="A2:H2"/>
    <mergeCell ref="A4:H4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2C8D"/>
  </sheetPr>
  <dimension ref="A1:F28"/>
  <sheetViews>
    <sheetView showGridLines="0" topLeftCell="A5" zoomScaleNormal="100" workbookViewId="0">
      <selection sqref="A1:F1"/>
    </sheetView>
  </sheetViews>
  <sheetFormatPr baseColWidth="10" defaultColWidth="8.6640625" defaultRowHeight="14.4" x14ac:dyDescent="0.3"/>
  <cols>
    <col min="1" max="1" width="38" customWidth="1"/>
    <col min="2" max="2" width="20" customWidth="1"/>
    <col min="3" max="3" width="15" customWidth="1"/>
    <col min="4" max="4" width="45" customWidth="1"/>
    <col min="5" max="5" width="15" customWidth="1"/>
  </cols>
  <sheetData>
    <row r="1" spans="1:6" ht="36" customHeight="1" x14ac:dyDescent="0.3">
      <c r="A1" s="10" t="s">
        <v>56</v>
      </c>
      <c r="B1" s="10"/>
      <c r="C1" s="10"/>
      <c r="D1" s="10"/>
      <c r="E1" s="10"/>
      <c r="F1" s="10"/>
    </row>
    <row r="2" spans="1:6" ht="7.5" customHeight="1" x14ac:dyDescent="0.3"/>
    <row r="3" spans="1:6" ht="19.5" customHeight="1" x14ac:dyDescent="0.3">
      <c r="A3" s="9" t="s">
        <v>57</v>
      </c>
      <c r="B3" s="9"/>
      <c r="C3" s="9"/>
      <c r="D3" s="9"/>
      <c r="E3" s="9"/>
      <c r="F3" s="9"/>
    </row>
    <row r="4" spans="1:6" x14ac:dyDescent="0.3">
      <c r="A4" s="31" t="s">
        <v>58</v>
      </c>
      <c r="B4" s="31" t="s">
        <v>59</v>
      </c>
      <c r="C4" s="31" t="s">
        <v>60</v>
      </c>
      <c r="D4" s="31" t="s">
        <v>6</v>
      </c>
      <c r="E4" s="31" t="s">
        <v>61</v>
      </c>
    </row>
    <row r="5" spans="1:6" x14ac:dyDescent="0.3">
      <c r="A5" s="23" t="s">
        <v>62</v>
      </c>
      <c r="B5" s="32">
        <v>4</v>
      </c>
      <c r="C5" s="33" t="s">
        <v>63</v>
      </c>
      <c r="D5" s="23" t="s">
        <v>64</v>
      </c>
    </row>
    <row r="6" spans="1:6" x14ac:dyDescent="0.3">
      <c r="A6" s="19" t="s">
        <v>65</v>
      </c>
      <c r="B6" s="34">
        <f>B7</f>
        <v>60000</v>
      </c>
      <c r="C6" s="35" t="s">
        <v>66</v>
      </c>
      <c r="D6" s="19" t="s">
        <v>67</v>
      </c>
    </row>
    <row r="7" spans="1:6" x14ac:dyDescent="0.3">
      <c r="A7" s="23" t="s">
        <v>68</v>
      </c>
      <c r="B7" s="36">
        <v>60000</v>
      </c>
      <c r="C7" s="33" t="s">
        <v>66</v>
      </c>
      <c r="D7" s="23" t="s">
        <v>69</v>
      </c>
    </row>
    <row r="8" spans="1:6" x14ac:dyDescent="0.3">
      <c r="A8" s="19" t="s">
        <v>17</v>
      </c>
      <c r="B8" s="37">
        <v>328</v>
      </c>
      <c r="C8" s="35" t="s">
        <v>70</v>
      </c>
      <c r="D8" s="19" t="s">
        <v>71</v>
      </c>
    </row>
    <row r="9" spans="1:6" x14ac:dyDescent="0.3">
      <c r="A9" s="23" t="s">
        <v>72</v>
      </c>
      <c r="B9" s="36">
        <v>19680000</v>
      </c>
      <c r="C9" s="33" t="s">
        <v>73</v>
      </c>
      <c r="D9" s="23" t="s">
        <v>74</v>
      </c>
    </row>
    <row r="11" spans="1:6" ht="19.5" customHeight="1" x14ac:dyDescent="0.3">
      <c r="A11" s="9" t="s">
        <v>75</v>
      </c>
      <c r="B11" s="9"/>
      <c r="C11" s="9"/>
      <c r="D11" s="9"/>
      <c r="E11" s="9"/>
      <c r="F11" s="9"/>
    </row>
    <row r="12" spans="1:6" x14ac:dyDescent="0.3">
      <c r="A12" s="31" t="s">
        <v>58</v>
      </c>
      <c r="B12" s="31" t="s">
        <v>59</v>
      </c>
      <c r="C12" s="31" t="s">
        <v>60</v>
      </c>
      <c r="D12" s="31" t="s">
        <v>6</v>
      </c>
      <c r="E12" s="31" t="s">
        <v>61</v>
      </c>
    </row>
    <row r="13" spans="1:6" x14ac:dyDescent="0.3">
      <c r="A13" s="23" t="s">
        <v>76</v>
      </c>
      <c r="B13" s="36">
        <v>457500</v>
      </c>
      <c r="C13" s="33" t="s">
        <v>77</v>
      </c>
      <c r="D13" s="23" t="s">
        <v>78</v>
      </c>
    </row>
    <row r="14" spans="1:6" x14ac:dyDescent="0.3">
      <c r="A14" s="19" t="s">
        <v>79</v>
      </c>
      <c r="B14" s="34">
        <v>5490000</v>
      </c>
      <c r="C14" s="35" t="s">
        <v>80</v>
      </c>
      <c r="D14" s="19" t="s">
        <v>81</v>
      </c>
    </row>
    <row r="15" spans="1:6" x14ac:dyDescent="0.3">
      <c r="A15" s="23" t="s">
        <v>82</v>
      </c>
      <c r="B15" s="36">
        <v>16470000</v>
      </c>
      <c r="C15" s="33" t="s">
        <v>73</v>
      </c>
      <c r="D15" s="23" t="s">
        <v>83</v>
      </c>
    </row>
    <row r="16" spans="1:6" x14ac:dyDescent="0.3">
      <c r="A16" s="19" t="s">
        <v>84</v>
      </c>
      <c r="B16" s="34">
        <v>27450000</v>
      </c>
      <c r="C16" s="35" t="s">
        <v>73</v>
      </c>
      <c r="D16" s="19" t="s">
        <v>85</v>
      </c>
    </row>
    <row r="18" spans="1:6" ht="19.5" customHeight="1" x14ac:dyDescent="0.3">
      <c r="A18" s="9" t="s">
        <v>86</v>
      </c>
      <c r="B18" s="9"/>
      <c r="C18" s="9"/>
      <c r="D18" s="9"/>
      <c r="E18" s="9"/>
      <c r="F18" s="9"/>
    </row>
    <row r="19" spans="1:6" x14ac:dyDescent="0.3">
      <c r="A19" s="31" t="s">
        <v>58</v>
      </c>
      <c r="B19" s="31" t="s">
        <v>59</v>
      </c>
      <c r="C19" s="31" t="s">
        <v>60</v>
      </c>
      <c r="D19" s="31" t="s">
        <v>6</v>
      </c>
      <c r="E19" s="31" t="s">
        <v>61</v>
      </c>
    </row>
    <row r="20" spans="1:6" x14ac:dyDescent="0.3">
      <c r="A20" s="19" t="s">
        <v>87</v>
      </c>
      <c r="B20" s="37">
        <v>50</v>
      </c>
      <c r="C20" s="35" t="s">
        <v>88</v>
      </c>
      <c r="D20" s="19" t="s">
        <v>89</v>
      </c>
    </row>
    <row r="21" spans="1:6" x14ac:dyDescent="0.3">
      <c r="A21" s="23" t="s">
        <v>90</v>
      </c>
      <c r="B21" s="36">
        <v>80000</v>
      </c>
      <c r="C21" s="33" t="s">
        <v>73</v>
      </c>
      <c r="D21" s="23" t="s">
        <v>91</v>
      </c>
    </row>
    <row r="22" spans="1:6" x14ac:dyDescent="0.3">
      <c r="A22" s="19" t="s">
        <v>92</v>
      </c>
      <c r="B22" s="38">
        <v>0.2</v>
      </c>
      <c r="C22" s="35" t="s">
        <v>93</v>
      </c>
      <c r="D22" s="19" t="s">
        <v>94</v>
      </c>
    </row>
    <row r="23" spans="1:6" x14ac:dyDescent="0.3">
      <c r="A23" s="23" t="s">
        <v>95</v>
      </c>
      <c r="B23" s="36">
        <v>48000000</v>
      </c>
      <c r="C23" s="33" t="s">
        <v>80</v>
      </c>
      <c r="D23" s="23" t="s">
        <v>96</v>
      </c>
    </row>
    <row r="24" spans="1:6" x14ac:dyDescent="0.3">
      <c r="A24" s="19" t="s">
        <v>97</v>
      </c>
      <c r="B24" s="34">
        <v>9600000</v>
      </c>
      <c r="C24" s="35" t="s">
        <v>80</v>
      </c>
      <c r="D24" s="19" t="s">
        <v>98</v>
      </c>
    </row>
    <row r="25" spans="1:6" x14ac:dyDescent="0.3">
      <c r="A25" s="23" t="s">
        <v>21</v>
      </c>
      <c r="B25" s="36">
        <v>4110000</v>
      </c>
      <c r="C25" s="33" t="s">
        <v>80</v>
      </c>
      <c r="D25" s="23" t="s">
        <v>99</v>
      </c>
    </row>
    <row r="26" spans="1:6" x14ac:dyDescent="0.3">
      <c r="A26" s="19" t="s">
        <v>100</v>
      </c>
      <c r="B26" s="27">
        <v>4.7883211678832103</v>
      </c>
      <c r="C26" s="35" t="s">
        <v>101</v>
      </c>
      <c r="D26" s="19" t="s">
        <v>102</v>
      </c>
    </row>
    <row r="27" spans="1:6" x14ac:dyDescent="0.3">
      <c r="A27" s="23" t="s">
        <v>103</v>
      </c>
      <c r="B27" s="26">
        <v>-0.373475609756098</v>
      </c>
      <c r="C27" s="33" t="s">
        <v>93</v>
      </c>
      <c r="D27" s="23" t="s">
        <v>104</v>
      </c>
    </row>
    <row r="28" spans="1:6" x14ac:dyDescent="0.3">
      <c r="A28" s="19" t="s">
        <v>105</v>
      </c>
      <c r="B28" s="25">
        <v>4.4207317073170702E-2</v>
      </c>
      <c r="C28" s="35" t="s">
        <v>93</v>
      </c>
      <c r="D28" s="19" t="s">
        <v>106</v>
      </c>
    </row>
  </sheetData>
  <mergeCells count="4">
    <mergeCell ref="A1:F1"/>
    <mergeCell ref="A3:F3"/>
    <mergeCell ref="A11:F11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5631"/>
  </sheetPr>
  <dimension ref="A1:H23"/>
  <sheetViews>
    <sheetView showGridLines="0" tabSelected="1" topLeftCell="A9" zoomScaleNormal="100" workbookViewId="0">
      <selection activeCell="D22" sqref="D22"/>
    </sheetView>
  </sheetViews>
  <sheetFormatPr baseColWidth="10" defaultColWidth="8.6640625" defaultRowHeight="14.4" x14ac:dyDescent="0.3"/>
  <cols>
    <col min="1" max="1" width="22" customWidth="1"/>
    <col min="2" max="2" width="46" customWidth="1"/>
    <col min="3" max="5" width="16" customWidth="1"/>
    <col min="6" max="6" width="18" customWidth="1"/>
    <col min="7" max="7" width="38" customWidth="1"/>
  </cols>
  <sheetData>
    <row r="1" spans="1:8" ht="37.5" customHeight="1" x14ac:dyDescent="0.3">
      <c r="A1" s="8" t="s">
        <v>107</v>
      </c>
      <c r="B1" s="8"/>
      <c r="C1" s="8"/>
      <c r="D1" s="8"/>
      <c r="E1" s="8"/>
      <c r="F1" s="8"/>
      <c r="G1" s="8"/>
      <c r="H1" s="8"/>
    </row>
    <row r="2" spans="1:8" ht="21.75" customHeight="1" x14ac:dyDescent="0.3">
      <c r="A2" s="7" t="s">
        <v>108</v>
      </c>
      <c r="B2" s="7"/>
      <c r="C2" s="7"/>
      <c r="D2" s="7"/>
      <c r="E2" s="7"/>
      <c r="F2" s="7"/>
      <c r="G2" s="7"/>
      <c r="H2" s="7"/>
    </row>
    <row r="3" spans="1:8" ht="7.5" customHeight="1" x14ac:dyDescent="0.3"/>
    <row r="4" spans="1:8" ht="27.75" customHeight="1" x14ac:dyDescent="0.3">
      <c r="A4" s="39" t="s">
        <v>109</v>
      </c>
      <c r="B4" s="39" t="s">
        <v>110</v>
      </c>
      <c r="C4" s="39" t="s">
        <v>111</v>
      </c>
      <c r="D4" s="39" t="s">
        <v>112</v>
      </c>
      <c r="E4" s="39" t="s">
        <v>113</v>
      </c>
      <c r="F4" s="39" t="s">
        <v>114</v>
      </c>
      <c r="G4" s="39" t="s">
        <v>115</v>
      </c>
    </row>
    <row r="5" spans="1:8" x14ac:dyDescent="0.3">
      <c r="A5" s="20" t="s">
        <v>116</v>
      </c>
      <c r="B5" s="23" t="s">
        <v>117</v>
      </c>
      <c r="C5" s="33" t="s">
        <v>118</v>
      </c>
      <c r="D5" s="40">
        <v>30</v>
      </c>
      <c r="E5" s="21">
        <v>60000</v>
      </c>
      <c r="F5" s="22">
        <f t="shared" ref="F5:F14" si="0">D5*E5</f>
        <v>1800000</v>
      </c>
      <c r="G5" s="41" t="s">
        <v>119</v>
      </c>
    </row>
    <row r="6" spans="1:8" x14ac:dyDescent="0.3">
      <c r="A6" s="16" t="s">
        <v>120</v>
      </c>
      <c r="B6" s="19" t="s">
        <v>121</v>
      </c>
      <c r="C6" s="35" t="s">
        <v>118</v>
      </c>
      <c r="D6" s="42">
        <v>35</v>
      </c>
      <c r="E6" s="17">
        <v>60000</v>
      </c>
      <c r="F6" s="18">
        <f t="shared" si="0"/>
        <v>2100000</v>
      </c>
      <c r="G6" s="43" t="s">
        <v>119</v>
      </c>
    </row>
    <row r="7" spans="1:8" x14ac:dyDescent="0.3">
      <c r="A7" s="20" t="s">
        <v>122</v>
      </c>
      <c r="B7" s="23" t="s">
        <v>123</v>
      </c>
      <c r="C7" s="33" t="s">
        <v>118</v>
      </c>
      <c r="D7" s="40">
        <v>35</v>
      </c>
      <c r="E7" s="21">
        <v>60000</v>
      </c>
      <c r="F7" s="22">
        <f t="shared" si="0"/>
        <v>2100000</v>
      </c>
      <c r="G7" s="41" t="s">
        <v>119</v>
      </c>
    </row>
    <row r="8" spans="1:8" ht="26.4" x14ac:dyDescent="0.3">
      <c r="A8" s="16" t="s">
        <v>124</v>
      </c>
      <c r="B8" s="19" t="s">
        <v>125</v>
      </c>
      <c r="C8" s="35" t="s">
        <v>126</v>
      </c>
      <c r="D8" s="42">
        <v>40</v>
      </c>
      <c r="E8" s="17">
        <v>60000</v>
      </c>
      <c r="F8" s="18">
        <f t="shared" si="0"/>
        <v>2400000</v>
      </c>
      <c r="G8" s="43" t="s">
        <v>119</v>
      </c>
    </row>
    <row r="9" spans="1:8" x14ac:dyDescent="0.3">
      <c r="A9" s="20" t="s">
        <v>127</v>
      </c>
      <c r="B9" s="23" t="s">
        <v>128</v>
      </c>
      <c r="C9" s="33" t="s">
        <v>126</v>
      </c>
      <c r="D9" s="40">
        <v>25</v>
      </c>
      <c r="E9" s="21">
        <v>60000</v>
      </c>
      <c r="F9" s="22">
        <f t="shared" si="0"/>
        <v>1500000</v>
      </c>
      <c r="G9" s="41" t="s">
        <v>119</v>
      </c>
    </row>
    <row r="10" spans="1:8" x14ac:dyDescent="0.3">
      <c r="A10" s="16" t="s">
        <v>129</v>
      </c>
      <c r="B10" s="19" t="s">
        <v>130</v>
      </c>
      <c r="C10" s="35" t="s">
        <v>131</v>
      </c>
      <c r="D10" s="42">
        <v>38</v>
      </c>
      <c r="E10" s="17">
        <v>60000</v>
      </c>
      <c r="F10" s="18">
        <f t="shared" si="0"/>
        <v>2280000</v>
      </c>
      <c r="G10" s="43" t="s">
        <v>119</v>
      </c>
    </row>
    <row r="11" spans="1:8" ht="26.4" x14ac:dyDescent="0.3">
      <c r="A11" s="20" t="s">
        <v>132</v>
      </c>
      <c r="B11" s="23" t="s">
        <v>133</v>
      </c>
      <c r="C11" s="33" t="s">
        <v>134</v>
      </c>
      <c r="D11" s="40">
        <v>45</v>
      </c>
      <c r="E11" s="21">
        <v>60000</v>
      </c>
      <c r="F11" s="22">
        <f t="shared" si="0"/>
        <v>2700000</v>
      </c>
      <c r="G11" s="41" t="s">
        <v>119</v>
      </c>
    </row>
    <row r="12" spans="1:8" x14ac:dyDescent="0.3">
      <c r="A12" s="16" t="s">
        <v>135</v>
      </c>
      <c r="B12" s="19" t="s">
        <v>136</v>
      </c>
      <c r="C12" s="35" t="s">
        <v>134</v>
      </c>
      <c r="D12" s="42">
        <v>30</v>
      </c>
      <c r="E12" s="17">
        <v>60000</v>
      </c>
      <c r="F12" s="18">
        <f t="shared" si="0"/>
        <v>1800000</v>
      </c>
      <c r="G12" s="43" t="s">
        <v>119</v>
      </c>
    </row>
    <row r="13" spans="1:8" x14ac:dyDescent="0.3">
      <c r="A13" s="20" t="s">
        <v>137</v>
      </c>
      <c r="B13" s="23" t="s">
        <v>138</v>
      </c>
      <c r="C13" s="33" t="s">
        <v>134</v>
      </c>
      <c r="D13" s="40">
        <v>30</v>
      </c>
      <c r="E13" s="21">
        <v>60000</v>
      </c>
      <c r="F13" s="22">
        <f t="shared" si="0"/>
        <v>1800000</v>
      </c>
      <c r="G13" s="41" t="s">
        <v>119</v>
      </c>
    </row>
    <row r="14" spans="1:8" ht="26.4" x14ac:dyDescent="0.3">
      <c r="A14" s="16" t="s">
        <v>139</v>
      </c>
      <c r="B14" s="19" t="s">
        <v>140</v>
      </c>
      <c r="C14" s="35" t="s">
        <v>134</v>
      </c>
      <c r="D14" s="42">
        <v>20</v>
      </c>
      <c r="E14" s="17">
        <v>60000</v>
      </c>
      <c r="F14" s="18">
        <f t="shared" si="0"/>
        <v>1200000</v>
      </c>
      <c r="G14" s="43" t="s">
        <v>119</v>
      </c>
    </row>
    <row r="15" spans="1:8" ht="24" customHeight="1" x14ac:dyDescent="0.3">
      <c r="A15" s="39" t="s">
        <v>141</v>
      </c>
      <c r="B15" s="44"/>
      <c r="C15" s="44"/>
      <c r="D15" s="45">
        <f>SUM(D5:D14)</f>
        <v>328</v>
      </c>
      <c r="E15" s="44"/>
      <c r="F15" s="46">
        <f>SUM(F5:F14)</f>
        <v>19680000</v>
      </c>
      <c r="G15" s="44"/>
    </row>
    <row r="17" spans="1:6" ht="19.5" customHeight="1" x14ac:dyDescent="0.3">
      <c r="A17" s="6" t="s">
        <v>142</v>
      </c>
      <c r="B17" s="6"/>
      <c r="C17" s="6"/>
      <c r="D17" s="6"/>
      <c r="E17" s="6"/>
      <c r="F17" s="6"/>
    </row>
    <row r="18" spans="1:6" x14ac:dyDescent="0.3">
      <c r="A18" s="29" t="s">
        <v>143</v>
      </c>
      <c r="B18" s="29" t="s">
        <v>144</v>
      </c>
      <c r="C18" s="29" t="s">
        <v>145</v>
      </c>
      <c r="D18" s="29" t="s">
        <v>114</v>
      </c>
    </row>
    <row r="19" spans="1:6" x14ac:dyDescent="0.3">
      <c r="A19" s="16" t="s">
        <v>118</v>
      </c>
      <c r="B19" s="19" t="s">
        <v>146</v>
      </c>
      <c r="C19" s="47">
        <v>100</v>
      </c>
      <c r="D19" s="18">
        <v>6000000</v>
      </c>
    </row>
    <row r="20" spans="1:6" x14ac:dyDescent="0.3">
      <c r="A20" s="20" t="s">
        <v>126</v>
      </c>
      <c r="B20" s="23" t="s">
        <v>147</v>
      </c>
      <c r="C20" s="48">
        <v>65</v>
      </c>
      <c r="D20" s="22">
        <v>3900000</v>
      </c>
    </row>
    <row r="21" spans="1:6" x14ac:dyDescent="0.3">
      <c r="A21" s="16" t="s">
        <v>131</v>
      </c>
      <c r="B21" s="19" t="s">
        <v>129</v>
      </c>
      <c r="C21" s="47">
        <v>38</v>
      </c>
      <c r="D21" s="18">
        <v>2280000</v>
      </c>
    </row>
    <row r="22" spans="1:6" ht="26.4" x14ac:dyDescent="0.3">
      <c r="A22" s="20" t="s">
        <v>134</v>
      </c>
      <c r="B22" s="23" t="s">
        <v>148</v>
      </c>
      <c r="C22" s="48">
        <v>125</v>
      </c>
      <c r="D22" s="22">
        <v>7500000</v>
      </c>
    </row>
    <row r="23" spans="1:6" x14ac:dyDescent="0.3">
      <c r="A23" s="39" t="s">
        <v>149</v>
      </c>
      <c r="B23" s="44"/>
      <c r="C23" s="45">
        <v>328</v>
      </c>
      <c r="D23" s="46">
        <v>19680000</v>
      </c>
    </row>
  </sheetData>
  <mergeCells count="3">
    <mergeCell ref="A1:H1"/>
    <mergeCell ref="A2:H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I17"/>
  <sheetViews>
    <sheetView showGridLines="0" topLeftCell="B1" zoomScaleNormal="100" workbookViewId="0">
      <selection sqref="A1:I1"/>
    </sheetView>
  </sheetViews>
  <sheetFormatPr baseColWidth="10" defaultColWidth="8.6640625" defaultRowHeight="14.4" x14ac:dyDescent="0.3"/>
  <cols>
    <col min="1" max="1" width="22" customWidth="1"/>
    <col min="2" max="2" width="45" customWidth="1"/>
    <col min="3" max="3" width="22" customWidth="1"/>
    <col min="4" max="4" width="12" customWidth="1"/>
    <col min="5" max="8" width="18" customWidth="1"/>
    <col min="9" max="9" width="42" customWidth="1"/>
  </cols>
  <sheetData>
    <row r="1" spans="1:9" ht="37.5" customHeight="1" x14ac:dyDescent="0.3">
      <c r="A1" s="5" t="s">
        <v>150</v>
      </c>
      <c r="B1" s="5"/>
      <c r="C1" s="5"/>
      <c r="D1" s="5"/>
      <c r="E1" s="5"/>
      <c r="F1" s="5"/>
      <c r="G1" s="5"/>
      <c r="H1" s="5"/>
      <c r="I1" s="5"/>
    </row>
    <row r="2" spans="1:9" ht="21.75" customHeight="1" x14ac:dyDescent="0.3">
      <c r="A2" s="4" t="s">
        <v>151</v>
      </c>
      <c r="B2" s="4"/>
      <c r="C2" s="4"/>
      <c r="D2" s="4"/>
      <c r="E2" s="4"/>
      <c r="F2" s="4"/>
      <c r="G2" s="4"/>
      <c r="H2" s="4"/>
      <c r="I2" s="4"/>
    </row>
    <row r="3" spans="1:9" ht="7.5" customHeight="1" x14ac:dyDescent="0.3"/>
    <row r="4" spans="1:9" ht="27.75" customHeight="1" x14ac:dyDescent="0.3">
      <c r="A4" s="49" t="s">
        <v>152</v>
      </c>
      <c r="B4" s="49" t="s">
        <v>6</v>
      </c>
      <c r="C4" s="49" t="s">
        <v>153</v>
      </c>
      <c r="D4" s="49" t="s">
        <v>154</v>
      </c>
      <c r="E4" s="49" t="s">
        <v>155</v>
      </c>
      <c r="F4" s="49" t="s">
        <v>156</v>
      </c>
      <c r="G4" s="49" t="s">
        <v>157</v>
      </c>
      <c r="H4" s="49" t="s">
        <v>158</v>
      </c>
      <c r="I4" s="49" t="s">
        <v>159</v>
      </c>
    </row>
    <row r="5" spans="1:9" ht="26.4" x14ac:dyDescent="0.3">
      <c r="A5" s="20" t="s">
        <v>160</v>
      </c>
      <c r="B5" s="23" t="s">
        <v>161</v>
      </c>
      <c r="C5" s="23" t="s">
        <v>162</v>
      </c>
      <c r="D5" s="33" t="s">
        <v>163</v>
      </c>
      <c r="E5" s="21">
        <v>65000</v>
      </c>
      <c r="F5" s="22">
        <f>E5*12</f>
        <v>780000</v>
      </c>
      <c r="G5" s="22">
        <f t="shared" ref="G5:G14" si="0">F5*3</f>
        <v>2340000</v>
      </c>
      <c r="H5" s="22">
        <f t="shared" ref="H5:H14" si="1">F5*5</f>
        <v>3900000</v>
      </c>
      <c r="I5" s="41" t="s">
        <v>164</v>
      </c>
    </row>
    <row r="6" spans="1:9" x14ac:dyDescent="0.3">
      <c r="A6" s="16" t="s">
        <v>165</v>
      </c>
      <c r="B6" s="19" t="s">
        <v>166</v>
      </c>
      <c r="C6" s="19" t="s">
        <v>167</v>
      </c>
      <c r="D6" s="35" t="s">
        <v>168</v>
      </c>
      <c r="E6" s="17">
        <v>4167</v>
      </c>
      <c r="F6" s="18">
        <f>E6</f>
        <v>4167</v>
      </c>
      <c r="G6" s="18">
        <f t="shared" si="0"/>
        <v>12501</v>
      </c>
      <c r="H6" s="18">
        <f t="shared" si="1"/>
        <v>20835</v>
      </c>
      <c r="I6" s="43" t="s">
        <v>169</v>
      </c>
    </row>
    <row r="7" spans="1:9" x14ac:dyDescent="0.3">
      <c r="A7" s="20" t="s">
        <v>170</v>
      </c>
      <c r="B7" s="23" t="s">
        <v>171</v>
      </c>
      <c r="C7" s="23" t="s">
        <v>172</v>
      </c>
      <c r="D7" s="33" t="s">
        <v>168</v>
      </c>
      <c r="E7" s="21">
        <v>0</v>
      </c>
      <c r="F7" s="22">
        <f>E7</f>
        <v>0</v>
      </c>
      <c r="G7" s="22">
        <f t="shared" si="0"/>
        <v>0</v>
      </c>
      <c r="H7" s="22">
        <f t="shared" si="1"/>
        <v>0</v>
      </c>
      <c r="I7" s="41" t="s">
        <v>173</v>
      </c>
    </row>
    <row r="8" spans="1:9" x14ac:dyDescent="0.3">
      <c r="A8" s="16" t="s">
        <v>174</v>
      </c>
      <c r="B8" s="19" t="s">
        <v>175</v>
      </c>
      <c r="C8" s="19" t="s">
        <v>176</v>
      </c>
      <c r="D8" s="35" t="s">
        <v>163</v>
      </c>
      <c r="E8" s="17">
        <v>0</v>
      </c>
      <c r="F8" s="18">
        <f t="shared" ref="F8:F13" si="2">E8*12</f>
        <v>0</v>
      </c>
      <c r="G8" s="18">
        <f t="shared" si="0"/>
        <v>0</v>
      </c>
      <c r="H8" s="18">
        <f t="shared" si="1"/>
        <v>0</v>
      </c>
      <c r="I8" s="43" t="s">
        <v>177</v>
      </c>
    </row>
    <row r="9" spans="1:9" x14ac:dyDescent="0.3">
      <c r="A9" s="20" t="s">
        <v>178</v>
      </c>
      <c r="B9" s="23" t="s">
        <v>179</v>
      </c>
      <c r="C9" s="23" t="s">
        <v>180</v>
      </c>
      <c r="D9" s="33" t="s">
        <v>163</v>
      </c>
      <c r="E9" s="21">
        <v>40000</v>
      </c>
      <c r="F9" s="22">
        <f t="shared" si="2"/>
        <v>480000</v>
      </c>
      <c r="G9" s="22">
        <f t="shared" si="0"/>
        <v>1440000</v>
      </c>
      <c r="H9" s="22">
        <f t="shared" si="1"/>
        <v>2400000</v>
      </c>
      <c r="I9" s="41" t="s">
        <v>181</v>
      </c>
    </row>
    <row r="10" spans="1:9" ht="26.4" x14ac:dyDescent="0.3">
      <c r="A10" s="16" t="s">
        <v>182</v>
      </c>
      <c r="B10" s="19" t="s">
        <v>183</v>
      </c>
      <c r="C10" s="19" t="s">
        <v>184</v>
      </c>
      <c r="D10" s="35" t="s">
        <v>163</v>
      </c>
      <c r="E10" s="17">
        <v>50000</v>
      </c>
      <c r="F10" s="18">
        <f t="shared" si="2"/>
        <v>600000</v>
      </c>
      <c r="G10" s="18">
        <f t="shared" si="0"/>
        <v>1800000</v>
      </c>
      <c r="H10" s="18">
        <f t="shared" si="1"/>
        <v>3000000</v>
      </c>
      <c r="I10" s="43" t="s">
        <v>185</v>
      </c>
    </row>
    <row r="11" spans="1:9" x14ac:dyDescent="0.3">
      <c r="A11" s="20" t="s">
        <v>186</v>
      </c>
      <c r="B11" s="23" t="s">
        <v>187</v>
      </c>
      <c r="C11" s="23" t="s">
        <v>188</v>
      </c>
      <c r="D11" s="33" t="s">
        <v>163</v>
      </c>
      <c r="E11" s="21">
        <v>30000</v>
      </c>
      <c r="F11" s="22">
        <f t="shared" si="2"/>
        <v>360000</v>
      </c>
      <c r="G11" s="22">
        <f t="shared" si="0"/>
        <v>1080000</v>
      </c>
      <c r="H11" s="22">
        <f t="shared" si="1"/>
        <v>1800000</v>
      </c>
      <c r="I11" s="41" t="s">
        <v>189</v>
      </c>
    </row>
    <row r="12" spans="1:9" x14ac:dyDescent="0.3">
      <c r="A12" s="16" t="s">
        <v>190</v>
      </c>
      <c r="B12" s="19" t="s">
        <v>191</v>
      </c>
      <c r="C12" s="19" t="s">
        <v>192</v>
      </c>
      <c r="D12" s="35" t="s">
        <v>163</v>
      </c>
      <c r="E12" s="17">
        <v>240000</v>
      </c>
      <c r="F12" s="18">
        <f t="shared" si="2"/>
        <v>2880000</v>
      </c>
      <c r="G12" s="18">
        <f t="shared" si="0"/>
        <v>8640000</v>
      </c>
      <c r="H12" s="18">
        <f t="shared" si="1"/>
        <v>14400000</v>
      </c>
      <c r="I12" s="43" t="s">
        <v>193</v>
      </c>
    </row>
    <row r="13" spans="1:9" ht="26.4" x14ac:dyDescent="0.3">
      <c r="A13" s="20" t="s">
        <v>194</v>
      </c>
      <c r="B13" s="23" t="s">
        <v>195</v>
      </c>
      <c r="C13" s="23" t="s">
        <v>196</v>
      </c>
      <c r="D13" s="33" t="s">
        <v>163</v>
      </c>
      <c r="E13" s="21">
        <v>20000</v>
      </c>
      <c r="F13" s="22">
        <f t="shared" si="2"/>
        <v>240000</v>
      </c>
      <c r="G13" s="22">
        <f t="shared" si="0"/>
        <v>720000</v>
      </c>
      <c r="H13" s="22">
        <f t="shared" si="1"/>
        <v>1200000</v>
      </c>
      <c r="I13" s="41" t="s">
        <v>197</v>
      </c>
    </row>
    <row r="14" spans="1:9" ht="26.4" x14ac:dyDescent="0.3">
      <c r="A14" s="16" t="s">
        <v>198</v>
      </c>
      <c r="B14" s="19" t="s">
        <v>199</v>
      </c>
      <c r="C14" s="19" t="s">
        <v>200</v>
      </c>
      <c r="D14" s="35" t="s">
        <v>168</v>
      </c>
      <c r="E14" s="17">
        <v>8333</v>
      </c>
      <c r="F14" s="18">
        <f>E14</f>
        <v>8333</v>
      </c>
      <c r="G14" s="18">
        <f t="shared" si="0"/>
        <v>24999</v>
      </c>
      <c r="H14" s="18">
        <f t="shared" si="1"/>
        <v>41665</v>
      </c>
      <c r="I14" s="43" t="s">
        <v>201</v>
      </c>
    </row>
    <row r="15" spans="1:9" ht="24" customHeight="1" x14ac:dyDescent="0.3">
      <c r="A15" s="49" t="s">
        <v>202</v>
      </c>
      <c r="B15" s="50"/>
      <c r="C15" s="50"/>
      <c r="D15" s="50"/>
      <c r="E15" s="51">
        <f>SUM(E5:E14)</f>
        <v>457500</v>
      </c>
      <c r="F15" s="51">
        <f>SUM(F5:F14)</f>
        <v>5352500</v>
      </c>
      <c r="G15" s="51">
        <f>SUM(G5:G14)</f>
        <v>16057500</v>
      </c>
      <c r="H15" s="51">
        <f>SUM(H5:H14)</f>
        <v>26762500</v>
      </c>
      <c r="I15" s="50"/>
    </row>
    <row r="17" spans="1:9" ht="39.75" customHeight="1" x14ac:dyDescent="0.3">
      <c r="A17" s="3" t="s">
        <v>203</v>
      </c>
      <c r="B17" s="3"/>
      <c r="C17" s="3"/>
      <c r="D17" s="3"/>
      <c r="E17" s="3"/>
      <c r="F17" s="3"/>
      <c r="G17" s="3"/>
      <c r="H17" s="3"/>
      <c r="I17" s="3"/>
    </row>
  </sheetData>
  <mergeCells count="3">
    <mergeCell ref="A1:I1"/>
    <mergeCell ref="A2:I2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I13"/>
  <sheetViews>
    <sheetView showGridLines="0" zoomScaleNormal="100" workbookViewId="0">
      <selection sqref="A1:H1"/>
    </sheetView>
  </sheetViews>
  <sheetFormatPr baseColWidth="10" defaultColWidth="8.6640625" defaultRowHeight="14.4" x14ac:dyDescent="0.3"/>
  <cols>
    <col min="1" max="1" width="22" customWidth="1"/>
    <col min="2" max="2" width="20" customWidth="1"/>
    <col min="3" max="4" width="14" customWidth="1"/>
    <col min="5" max="8" width="18" customWidth="1"/>
    <col min="9" max="9" width="42" customWidth="1"/>
  </cols>
  <sheetData>
    <row r="1" spans="1:9" ht="37.5" customHeight="1" x14ac:dyDescent="0.3">
      <c r="A1" s="2" t="s">
        <v>204</v>
      </c>
      <c r="B1" s="2"/>
      <c r="C1" s="2"/>
      <c r="D1" s="2"/>
      <c r="E1" s="2"/>
      <c r="F1" s="2"/>
      <c r="G1" s="2"/>
      <c r="H1" s="2"/>
    </row>
    <row r="2" spans="1:9" ht="21.75" customHeight="1" x14ac:dyDescent="0.3">
      <c r="A2" s="1" t="s">
        <v>205</v>
      </c>
      <c r="B2" s="1"/>
      <c r="C2" s="1"/>
      <c r="D2" s="1"/>
      <c r="E2" s="1"/>
      <c r="F2" s="1"/>
      <c r="G2" s="1"/>
      <c r="H2" s="1"/>
    </row>
    <row r="3" spans="1:9" ht="7.5" customHeight="1" x14ac:dyDescent="0.3"/>
    <row r="4" spans="1:9" ht="27.75" customHeight="1" x14ac:dyDescent="0.3">
      <c r="A4" s="52" t="s">
        <v>206</v>
      </c>
      <c r="B4" s="52" t="s">
        <v>207</v>
      </c>
      <c r="C4" s="52" t="s">
        <v>60</v>
      </c>
      <c r="D4" s="52" t="s">
        <v>208</v>
      </c>
      <c r="E4" s="52" t="s">
        <v>209</v>
      </c>
      <c r="F4" s="52" t="s">
        <v>155</v>
      </c>
      <c r="G4" s="52" t="s">
        <v>156</v>
      </c>
      <c r="H4" s="52" t="s">
        <v>157</v>
      </c>
      <c r="I4" s="52" t="s">
        <v>115</v>
      </c>
    </row>
    <row r="5" spans="1:9" x14ac:dyDescent="0.3">
      <c r="A5" s="20" t="s">
        <v>210</v>
      </c>
      <c r="B5" s="23" t="s">
        <v>211</v>
      </c>
      <c r="C5" s="33" t="s">
        <v>212</v>
      </c>
      <c r="D5" s="33" t="s">
        <v>213</v>
      </c>
      <c r="E5" s="21">
        <v>65000</v>
      </c>
      <c r="F5" s="22">
        <v>65000</v>
      </c>
      <c r="G5" s="22">
        <v>780000</v>
      </c>
      <c r="H5" s="22">
        <v>2340000</v>
      </c>
      <c r="I5" s="41" t="s">
        <v>214</v>
      </c>
    </row>
    <row r="6" spans="1:9" x14ac:dyDescent="0.3">
      <c r="A6" s="16" t="s">
        <v>215</v>
      </c>
      <c r="B6" s="19" t="s">
        <v>216</v>
      </c>
      <c r="C6" s="35" t="s">
        <v>217</v>
      </c>
      <c r="D6" s="35" t="s">
        <v>218</v>
      </c>
      <c r="E6" s="17">
        <v>2000</v>
      </c>
      <c r="F6" s="18">
        <v>20000</v>
      </c>
      <c r="G6" s="18">
        <v>240000</v>
      </c>
      <c r="H6" s="18">
        <v>720000</v>
      </c>
      <c r="I6" s="43" t="s">
        <v>219</v>
      </c>
    </row>
    <row r="7" spans="1:9" x14ac:dyDescent="0.3">
      <c r="A7" s="20" t="s">
        <v>220</v>
      </c>
      <c r="B7" s="23" t="s">
        <v>221</v>
      </c>
      <c r="C7" s="33" t="s">
        <v>217</v>
      </c>
      <c r="D7" s="33" t="s">
        <v>222</v>
      </c>
      <c r="E7" s="21">
        <v>500</v>
      </c>
      <c r="F7" s="22">
        <v>2500</v>
      </c>
      <c r="G7" s="22">
        <v>30000</v>
      </c>
      <c r="H7" s="22">
        <v>90000</v>
      </c>
      <c r="I7" s="41" t="s">
        <v>223</v>
      </c>
    </row>
    <row r="8" spans="1:9" x14ac:dyDescent="0.3">
      <c r="A8" s="16" t="s">
        <v>174</v>
      </c>
      <c r="B8" s="19" t="s">
        <v>224</v>
      </c>
      <c r="C8" s="35" t="s">
        <v>225</v>
      </c>
      <c r="D8" s="35" t="s">
        <v>226</v>
      </c>
      <c r="E8" s="17">
        <v>0</v>
      </c>
      <c r="F8" s="18">
        <v>0</v>
      </c>
      <c r="G8" s="18">
        <v>0</v>
      </c>
      <c r="H8" s="18">
        <v>0</v>
      </c>
      <c r="I8" s="43" t="s">
        <v>227</v>
      </c>
    </row>
    <row r="9" spans="1:9" x14ac:dyDescent="0.3">
      <c r="A9" s="20" t="s">
        <v>178</v>
      </c>
      <c r="B9" s="23" t="s">
        <v>228</v>
      </c>
      <c r="C9" s="33" t="s">
        <v>225</v>
      </c>
      <c r="D9" s="33" t="s">
        <v>226</v>
      </c>
      <c r="E9" s="21">
        <v>40000</v>
      </c>
      <c r="F9" s="22">
        <v>40000</v>
      </c>
      <c r="G9" s="22">
        <v>480000</v>
      </c>
      <c r="H9" s="22">
        <v>1440000</v>
      </c>
      <c r="I9" s="41" t="s">
        <v>229</v>
      </c>
    </row>
    <row r="10" spans="1:9" x14ac:dyDescent="0.3">
      <c r="A10" s="16" t="s">
        <v>230</v>
      </c>
      <c r="B10" s="19" t="s">
        <v>172</v>
      </c>
      <c r="C10" s="35" t="s">
        <v>231</v>
      </c>
      <c r="D10" s="35" t="s">
        <v>226</v>
      </c>
      <c r="E10" s="17">
        <v>0</v>
      </c>
      <c r="F10" s="18">
        <v>0</v>
      </c>
      <c r="G10" s="18">
        <v>0</v>
      </c>
      <c r="H10" s="18">
        <v>0</v>
      </c>
      <c r="I10" s="43" t="s">
        <v>232</v>
      </c>
    </row>
    <row r="11" spans="1:9" x14ac:dyDescent="0.3">
      <c r="A11" s="20" t="s">
        <v>233</v>
      </c>
      <c r="B11" s="23" t="s">
        <v>234</v>
      </c>
      <c r="C11" s="33" t="s">
        <v>235</v>
      </c>
      <c r="D11" s="33" t="s">
        <v>226</v>
      </c>
      <c r="E11" s="21">
        <v>50000</v>
      </c>
      <c r="F11" s="22">
        <v>4167</v>
      </c>
      <c r="G11" s="22">
        <v>50000</v>
      </c>
      <c r="H11" s="22">
        <v>150000</v>
      </c>
      <c r="I11" s="41" t="s">
        <v>236</v>
      </c>
    </row>
    <row r="12" spans="1:9" x14ac:dyDescent="0.3">
      <c r="A12" s="16" t="s">
        <v>237</v>
      </c>
      <c r="B12" s="19" t="s">
        <v>238</v>
      </c>
      <c r="C12" s="35" t="s">
        <v>225</v>
      </c>
      <c r="D12" s="35" t="s">
        <v>226</v>
      </c>
      <c r="E12" s="17">
        <v>30000</v>
      </c>
      <c r="F12" s="18">
        <v>30000</v>
      </c>
      <c r="G12" s="18">
        <v>360000</v>
      </c>
      <c r="H12" s="18">
        <v>1080000</v>
      </c>
      <c r="I12" s="43" t="s">
        <v>239</v>
      </c>
    </row>
    <row r="13" spans="1:9" ht="24" customHeight="1" x14ac:dyDescent="0.3">
      <c r="A13" s="52" t="s">
        <v>240</v>
      </c>
      <c r="B13" s="53"/>
      <c r="C13" s="53"/>
      <c r="D13" s="53"/>
      <c r="E13" s="53"/>
      <c r="F13" s="54">
        <f>SUM(F5:F12)</f>
        <v>161667</v>
      </c>
      <c r="G13" s="54">
        <f>SUM(G5:G12)</f>
        <v>1940000</v>
      </c>
      <c r="H13" s="54">
        <f>SUM(H5:H12)</f>
        <v>5820000</v>
      </c>
      <c r="I13" s="53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L32"/>
  <sheetViews>
    <sheetView showGridLines="0" zoomScaleNormal="100" workbookViewId="0">
      <selection sqref="A1:L1"/>
    </sheetView>
  </sheetViews>
  <sheetFormatPr baseColWidth="10" defaultColWidth="8.6640625" defaultRowHeight="14.4" x14ac:dyDescent="0.3"/>
  <cols>
    <col min="1" max="1" width="6" customWidth="1"/>
    <col min="2" max="2" width="13" customWidth="1"/>
    <col min="3" max="3" width="38" customWidth="1"/>
    <col min="4" max="4" width="7" customWidth="1"/>
    <col min="5" max="5" width="8" customWidth="1"/>
    <col min="6" max="7" width="9" customWidth="1"/>
    <col min="8" max="8" width="48" customWidth="1"/>
    <col min="9" max="9" width="16" customWidth="1"/>
    <col min="10" max="11" width="12" customWidth="1"/>
    <col min="12" max="12" width="10" customWidth="1"/>
  </cols>
  <sheetData>
    <row r="1" spans="1:12" ht="37.5" customHeight="1" x14ac:dyDescent="0.3">
      <c r="A1" s="74" t="s">
        <v>241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21.75" customHeight="1" x14ac:dyDescent="0.3">
      <c r="A2" s="75" t="s">
        <v>242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7.5" customHeight="1" x14ac:dyDescent="0.3"/>
    <row r="4" spans="1:12" ht="42" customHeight="1" x14ac:dyDescent="0.3">
      <c r="A4" s="55" t="s">
        <v>243</v>
      </c>
      <c r="B4" s="55" t="s">
        <v>152</v>
      </c>
      <c r="C4" s="55" t="s">
        <v>244</v>
      </c>
      <c r="D4" s="55" t="s">
        <v>245</v>
      </c>
      <c r="E4" s="55" t="s">
        <v>246</v>
      </c>
      <c r="F4" s="55" t="s">
        <v>247</v>
      </c>
      <c r="G4" s="55" t="s">
        <v>248</v>
      </c>
      <c r="H4" s="55" t="s">
        <v>249</v>
      </c>
      <c r="I4" s="55" t="s">
        <v>250</v>
      </c>
      <c r="J4" s="55" t="s">
        <v>251</v>
      </c>
      <c r="K4" s="55" t="s">
        <v>252</v>
      </c>
      <c r="L4" s="55" t="s">
        <v>32</v>
      </c>
    </row>
    <row r="5" spans="1:12" ht="26.4" x14ac:dyDescent="0.3">
      <c r="A5" s="30" t="s">
        <v>253</v>
      </c>
      <c r="B5" s="33" t="s">
        <v>122</v>
      </c>
      <c r="C5" s="23" t="s">
        <v>254</v>
      </c>
      <c r="D5" s="56">
        <v>3</v>
      </c>
      <c r="E5" s="56">
        <v>5</v>
      </c>
      <c r="F5" s="57">
        <f t="shared" ref="F5:F18" si="0">D5*E5</f>
        <v>15</v>
      </c>
      <c r="G5" s="58" t="s">
        <v>255</v>
      </c>
      <c r="H5" s="23" t="s">
        <v>256</v>
      </c>
      <c r="I5" s="33" t="s">
        <v>118</v>
      </c>
      <c r="J5" s="59">
        <v>2</v>
      </c>
      <c r="K5" s="59">
        <v>4</v>
      </c>
      <c r="L5" s="60" t="s">
        <v>257</v>
      </c>
    </row>
    <row r="6" spans="1:12" ht="26.4" x14ac:dyDescent="0.3">
      <c r="A6" s="28" t="s">
        <v>258</v>
      </c>
      <c r="B6" s="35" t="s">
        <v>259</v>
      </c>
      <c r="C6" s="19" t="s">
        <v>260</v>
      </c>
      <c r="D6" s="61">
        <v>2</v>
      </c>
      <c r="E6" s="61">
        <v>4</v>
      </c>
      <c r="F6" s="62">
        <f t="shared" si="0"/>
        <v>8</v>
      </c>
      <c r="G6" s="63" t="s">
        <v>261</v>
      </c>
      <c r="H6" s="19" t="s">
        <v>262</v>
      </c>
      <c r="I6" s="35" t="s">
        <v>131</v>
      </c>
      <c r="J6" s="64">
        <v>1</v>
      </c>
      <c r="K6" s="64">
        <v>3</v>
      </c>
      <c r="L6" s="60" t="s">
        <v>257</v>
      </c>
    </row>
    <row r="7" spans="1:12" ht="26.4" x14ac:dyDescent="0.3">
      <c r="A7" s="30" t="s">
        <v>263</v>
      </c>
      <c r="B7" s="33" t="s">
        <v>264</v>
      </c>
      <c r="C7" s="23" t="s">
        <v>265</v>
      </c>
      <c r="D7" s="56">
        <v>2</v>
      </c>
      <c r="E7" s="56">
        <v>5</v>
      </c>
      <c r="F7" s="57">
        <f t="shared" si="0"/>
        <v>10</v>
      </c>
      <c r="G7" s="58" t="s">
        <v>255</v>
      </c>
      <c r="H7" s="23" t="s">
        <v>266</v>
      </c>
      <c r="I7" s="33" t="s">
        <v>126</v>
      </c>
      <c r="J7" s="59">
        <v>1</v>
      </c>
      <c r="K7" s="59">
        <v>4</v>
      </c>
      <c r="L7" s="60" t="s">
        <v>257</v>
      </c>
    </row>
    <row r="8" spans="1:12" ht="26.4" x14ac:dyDescent="0.3">
      <c r="A8" s="28" t="s">
        <v>267</v>
      </c>
      <c r="B8" s="35" t="s">
        <v>268</v>
      </c>
      <c r="C8" s="19" t="s">
        <v>269</v>
      </c>
      <c r="D8" s="61">
        <v>3</v>
      </c>
      <c r="E8" s="61">
        <v>3</v>
      </c>
      <c r="F8" s="62">
        <f t="shared" si="0"/>
        <v>9</v>
      </c>
      <c r="G8" s="63" t="s">
        <v>261</v>
      </c>
      <c r="H8" s="19" t="s">
        <v>270</v>
      </c>
      <c r="I8" s="35" t="s">
        <v>118</v>
      </c>
      <c r="J8" s="64">
        <v>2</v>
      </c>
      <c r="K8" s="64">
        <v>2</v>
      </c>
      <c r="L8" s="60" t="s">
        <v>257</v>
      </c>
    </row>
    <row r="9" spans="1:12" ht="26.4" x14ac:dyDescent="0.3">
      <c r="A9" s="30" t="s">
        <v>271</v>
      </c>
      <c r="B9" s="33" t="s">
        <v>272</v>
      </c>
      <c r="C9" s="23" t="s">
        <v>273</v>
      </c>
      <c r="D9" s="56">
        <v>1</v>
      </c>
      <c r="E9" s="56">
        <v>5</v>
      </c>
      <c r="F9" s="57">
        <f t="shared" si="0"/>
        <v>5</v>
      </c>
      <c r="G9" s="63" t="s">
        <v>261</v>
      </c>
      <c r="H9" s="23" t="s">
        <v>274</v>
      </c>
      <c r="I9" s="33" t="s">
        <v>131</v>
      </c>
      <c r="J9" s="59">
        <v>1</v>
      </c>
      <c r="K9" s="59">
        <v>4</v>
      </c>
      <c r="L9" s="60" t="s">
        <v>257</v>
      </c>
    </row>
    <row r="10" spans="1:12" ht="26.4" x14ac:dyDescent="0.3">
      <c r="A10" s="28" t="s">
        <v>275</v>
      </c>
      <c r="B10" s="35" t="s">
        <v>276</v>
      </c>
      <c r="C10" s="19" t="s">
        <v>277</v>
      </c>
      <c r="D10" s="61">
        <v>2</v>
      </c>
      <c r="E10" s="61">
        <v>4</v>
      </c>
      <c r="F10" s="62">
        <f t="shared" si="0"/>
        <v>8</v>
      </c>
      <c r="G10" s="63" t="s">
        <v>261</v>
      </c>
      <c r="H10" s="19" t="s">
        <v>278</v>
      </c>
      <c r="I10" s="35" t="s">
        <v>279</v>
      </c>
      <c r="J10" s="64">
        <v>1</v>
      </c>
      <c r="K10" s="64">
        <v>3</v>
      </c>
      <c r="L10" s="60" t="s">
        <v>257</v>
      </c>
    </row>
    <row r="11" spans="1:12" ht="26.4" x14ac:dyDescent="0.3">
      <c r="A11" s="30" t="s">
        <v>280</v>
      </c>
      <c r="B11" s="33" t="s">
        <v>281</v>
      </c>
      <c r="C11" s="23" t="s">
        <v>282</v>
      </c>
      <c r="D11" s="56">
        <v>3</v>
      </c>
      <c r="E11" s="56">
        <v>4</v>
      </c>
      <c r="F11" s="57">
        <f t="shared" si="0"/>
        <v>12</v>
      </c>
      <c r="G11" s="58" t="s">
        <v>255</v>
      </c>
      <c r="H11" s="23" t="s">
        <v>283</v>
      </c>
      <c r="I11" s="33" t="s">
        <v>284</v>
      </c>
      <c r="J11" s="59">
        <v>2</v>
      </c>
      <c r="K11" s="59">
        <v>3</v>
      </c>
      <c r="L11" s="60" t="s">
        <v>257</v>
      </c>
    </row>
    <row r="12" spans="1:12" ht="26.4" x14ac:dyDescent="0.3">
      <c r="A12" s="28" t="s">
        <v>285</v>
      </c>
      <c r="B12" s="35" t="s">
        <v>286</v>
      </c>
      <c r="C12" s="19" t="s">
        <v>287</v>
      </c>
      <c r="D12" s="61">
        <v>2</v>
      </c>
      <c r="E12" s="61">
        <v>3</v>
      </c>
      <c r="F12" s="62">
        <f t="shared" si="0"/>
        <v>6</v>
      </c>
      <c r="G12" s="63" t="s">
        <v>261</v>
      </c>
      <c r="H12" s="19" t="s">
        <v>288</v>
      </c>
      <c r="I12" s="35" t="s">
        <v>126</v>
      </c>
      <c r="J12" s="64">
        <v>1</v>
      </c>
      <c r="K12" s="64">
        <v>2</v>
      </c>
      <c r="L12" s="60" t="s">
        <v>257</v>
      </c>
    </row>
    <row r="13" spans="1:12" ht="26.4" x14ac:dyDescent="0.3">
      <c r="A13" s="30" t="s">
        <v>289</v>
      </c>
      <c r="B13" s="33" t="s">
        <v>290</v>
      </c>
      <c r="C13" s="23" t="s">
        <v>291</v>
      </c>
      <c r="D13" s="56">
        <v>2</v>
      </c>
      <c r="E13" s="56">
        <v>3</v>
      </c>
      <c r="F13" s="57">
        <f t="shared" si="0"/>
        <v>6</v>
      </c>
      <c r="G13" s="63" t="s">
        <v>261</v>
      </c>
      <c r="H13" s="23" t="s">
        <v>292</v>
      </c>
      <c r="I13" s="33" t="s">
        <v>118</v>
      </c>
      <c r="J13" s="59">
        <v>1</v>
      </c>
      <c r="K13" s="59">
        <v>2</v>
      </c>
      <c r="L13" s="60" t="s">
        <v>257</v>
      </c>
    </row>
    <row r="14" spans="1:12" ht="26.4" x14ac:dyDescent="0.3">
      <c r="A14" s="28" t="s">
        <v>293</v>
      </c>
      <c r="B14" s="35" t="s">
        <v>294</v>
      </c>
      <c r="C14" s="19" t="s">
        <v>295</v>
      </c>
      <c r="D14" s="61">
        <v>3</v>
      </c>
      <c r="E14" s="61">
        <v>3</v>
      </c>
      <c r="F14" s="62">
        <f t="shared" si="0"/>
        <v>9</v>
      </c>
      <c r="G14" s="63" t="s">
        <v>261</v>
      </c>
      <c r="H14" s="19" t="s">
        <v>296</v>
      </c>
      <c r="I14" s="35" t="s">
        <v>284</v>
      </c>
      <c r="J14" s="64">
        <v>2</v>
      </c>
      <c r="K14" s="64">
        <v>2</v>
      </c>
      <c r="L14" s="60" t="s">
        <v>257</v>
      </c>
    </row>
    <row r="15" spans="1:12" ht="26.4" x14ac:dyDescent="0.3">
      <c r="A15" s="30" t="s">
        <v>297</v>
      </c>
      <c r="B15" s="33" t="s">
        <v>122</v>
      </c>
      <c r="C15" s="23" t="s">
        <v>298</v>
      </c>
      <c r="D15" s="56">
        <v>2</v>
      </c>
      <c r="E15" s="56">
        <v>5</v>
      </c>
      <c r="F15" s="57">
        <f t="shared" si="0"/>
        <v>10</v>
      </c>
      <c r="G15" s="58" t="s">
        <v>255</v>
      </c>
      <c r="H15" s="23" t="s">
        <v>299</v>
      </c>
      <c r="I15" s="33" t="s">
        <v>118</v>
      </c>
      <c r="J15" s="59">
        <v>1</v>
      </c>
      <c r="K15" s="59">
        <v>4</v>
      </c>
      <c r="L15" s="60" t="s">
        <v>257</v>
      </c>
    </row>
    <row r="16" spans="1:12" ht="26.4" x14ac:dyDescent="0.3">
      <c r="A16" s="28" t="s">
        <v>300</v>
      </c>
      <c r="B16" s="35" t="s">
        <v>301</v>
      </c>
      <c r="C16" s="19" t="s">
        <v>302</v>
      </c>
      <c r="D16" s="61">
        <v>3</v>
      </c>
      <c r="E16" s="61">
        <v>2</v>
      </c>
      <c r="F16" s="62">
        <f t="shared" si="0"/>
        <v>6</v>
      </c>
      <c r="G16" s="63" t="s">
        <v>261</v>
      </c>
      <c r="H16" s="19" t="s">
        <v>303</v>
      </c>
      <c r="I16" s="35" t="s">
        <v>304</v>
      </c>
      <c r="J16" s="64">
        <v>2</v>
      </c>
      <c r="K16" s="64">
        <v>1</v>
      </c>
      <c r="L16" s="60" t="s">
        <v>257</v>
      </c>
    </row>
    <row r="17" spans="1:12" ht="26.4" x14ac:dyDescent="0.3">
      <c r="A17" s="30" t="s">
        <v>305</v>
      </c>
      <c r="B17" s="33" t="s">
        <v>306</v>
      </c>
      <c r="C17" s="23" t="s">
        <v>307</v>
      </c>
      <c r="D17" s="56">
        <v>2</v>
      </c>
      <c r="E17" s="56">
        <v>4</v>
      </c>
      <c r="F17" s="57">
        <f t="shared" si="0"/>
        <v>8</v>
      </c>
      <c r="G17" s="63" t="s">
        <v>261</v>
      </c>
      <c r="H17" s="23" t="s">
        <v>308</v>
      </c>
      <c r="I17" s="33" t="s">
        <v>126</v>
      </c>
      <c r="J17" s="59">
        <v>1</v>
      </c>
      <c r="K17" s="59">
        <v>3</v>
      </c>
      <c r="L17" s="60" t="s">
        <v>257</v>
      </c>
    </row>
    <row r="18" spans="1:12" ht="26.4" x14ac:dyDescent="0.3">
      <c r="A18" s="28" t="s">
        <v>309</v>
      </c>
      <c r="B18" s="35" t="s">
        <v>310</v>
      </c>
      <c r="C18" s="19" t="s">
        <v>311</v>
      </c>
      <c r="D18" s="61">
        <v>3</v>
      </c>
      <c r="E18" s="61">
        <v>3</v>
      </c>
      <c r="F18" s="62">
        <f t="shared" si="0"/>
        <v>9</v>
      </c>
      <c r="G18" s="63" t="s">
        <v>261</v>
      </c>
      <c r="H18" s="19" t="s">
        <v>312</v>
      </c>
      <c r="I18" s="35" t="s">
        <v>134</v>
      </c>
      <c r="J18" s="64">
        <v>2</v>
      </c>
      <c r="K18" s="64">
        <v>2</v>
      </c>
      <c r="L18" s="60" t="s">
        <v>257</v>
      </c>
    </row>
    <row r="20" spans="1:12" ht="15" customHeight="1" x14ac:dyDescent="0.3">
      <c r="A20" s="76" t="s">
        <v>313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23.85" customHeight="1" x14ac:dyDescent="0.3">
      <c r="A21" s="65" t="s">
        <v>314</v>
      </c>
      <c r="B21" s="77" t="s">
        <v>315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</row>
    <row r="22" spans="1:12" ht="35.1" customHeight="1" x14ac:dyDescent="0.3">
      <c r="A22" s="63" t="s">
        <v>316</v>
      </c>
      <c r="B22" s="78" t="s">
        <v>317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</row>
    <row r="23" spans="1:12" ht="35.1" customHeight="1" x14ac:dyDescent="0.3">
      <c r="A23" s="58" t="s">
        <v>318</v>
      </c>
      <c r="B23" s="79" t="s">
        <v>319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</row>
    <row r="24" spans="1:12" ht="46.2" customHeight="1" x14ac:dyDescent="0.3">
      <c r="A24" s="66" t="s">
        <v>320</v>
      </c>
      <c r="B24" s="80" t="s">
        <v>321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6" spans="1:12" ht="15" customHeight="1" x14ac:dyDescent="0.3">
      <c r="A26" s="76" t="s">
        <v>322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</row>
    <row r="27" spans="1:12" ht="79.2" x14ac:dyDescent="0.3">
      <c r="A27" s="16" t="s">
        <v>323</v>
      </c>
      <c r="B27" s="67" t="s">
        <v>324</v>
      </c>
      <c r="C27" s="67" t="s">
        <v>325</v>
      </c>
      <c r="D27" s="67" t="s">
        <v>326</v>
      </c>
      <c r="E27" s="67" t="s">
        <v>327</v>
      </c>
      <c r="F27" s="67" t="s">
        <v>328</v>
      </c>
    </row>
    <row r="28" spans="1:12" x14ac:dyDescent="0.3">
      <c r="A28" s="67" t="s">
        <v>329</v>
      </c>
      <c r="B28" s="68" t="s">
        <v>271</v>
      </c>
      <c r="C28" s="69" t="s">
        <v>330</v>
      </c>
      <c r="D28" s="69" t="s">
        <v>253</v>
      </c>
      <c r="E28" s="70" t="s">
        <v>331</v>
      </c>
      <c r="F28" s="70" t="s">
        <v>332</v>
      </c>
    </row>
    <row r="29" spans="1:12" x14ac:dyDescent="0.3">
      <c r="A29" s="67" t="s">
        <v>333</v>
      </c>
      <c r="B29" s="71" t="s">
        <v>334</v>
      </c>
      <c r="C29" s="68" t="s">
        <v>335</v>
      </c>
      <c r="D29" s="69" t="s">
        <v>280</v>
      </c>
      <c r="E29" s="70" t="s">
        <v>336</v>
      </c>
      <c r="F29" s="70" t="s">
        <v>331</v>
      </c>
    </row>
    <row r="30" spans="1:12" ht="20.399999999999999" x14ac:dyDescent="0.3">
      <c r="A30" s="67" t="s">
        <v>337</v>
      </c>
      <c r="B30" s="71" t="s">
        <v>338</v>
      </c>
      <c r="C30" s="68" t="s">
        <v>339</v>
      </c>
      <c r="D30" s="68" t="s">
        <v>340</v>
      </c>
      <c r="E30" s="69" t="s">
        <v>341</v>
      </c>
      <c r="F30" s="69" t="s">
        <v>342</v>
      </c>
    </row>
    <row r="31" spans="1:12" x14ac:dyDescent="0.3">
      <c r="A31" s="67" t="s">
        <v>343</v>
      </c>
      <c r="B31" s="71" t="s">
        <v>344</v>
      </c>
      <c r="C31" s="71" t="s">
        <v>334</v>
      </c>
      <c r="D31" s="68" t="s">
        <v>300</v>
      </c>
      <c r="E31" s="68" t="s">
        <v>345</v>
      </c>
      <c r="F31" s="69" t="s">
        <v>346</v>
      </c>
    </row>
    <row r="32" spans="1:12" x14ac:dyDescent="0.3">
      <c r="A32" s="67" t="s">
        <v>347</v>
      </c>
      <c r="B32" s="71" t="s">
        <v>226</v>
      </c>
      <c r="C32" s="71" t="s">
        <v>344</v>
      </c>
      <c r="D32" s="71" t="s">
        <v>338</v>
      </c>
      <c r="E32" s="71" t="s">
        <v>334</v>
      </c>
      <c r="F32" s="68" t="s">
        <v>348</v>
      </c>
    </row>
  </sheetData>
  <mergeCells count="8">
    <mergeCell ref="B23:L23"/>
    <mergeCell ref="B24:L24"/>
    <mergeCell ref="A26:L26"/>
    <mergeCell ref="A1:L1"/>
    <mergeCell ref="A2:L2"/>
    <mergeCell ref="A20:L20"/>
    <mergeCell ref="B21:L21"/>
    <mergeCell ref="B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P31"/>
  <sheetViews>
    <sheetView showGridLines="0" zoomScale="53" zoomScaleNormal="100" workbookViewId="0">
      <selection activeCell="AC23" sqref="AC23"/>
    </sheetView>
  </sheetViews>
  <sheetFormatPr baseColWidth="10" defaultColWidth="8.6640625" defaultRowHeight="14.4" x14ac:dyDescent="0.3"/>
  <cols>
    <col min="1" max="1" width="20" customWidth="1"/>
    <col min="2" max="2" width="16" customWidth="1"/>
    <col min="3" max="4" width="14" customWidth="1"/>
    <col min="6" max="6" width="20" customWidth="1"/>
    <col min="7" max="7" width="16" customWidth="1"/>
    <col min="11" max="11" width="8" customWidth="1"/>
    <col min="12" max="12" width="14" customWidth="1"/>
    <col min="13" max="14" width="16" customWidth="1"/>
    <col min="15" max="15" width="18" customWidth="1"/>
  </cols>
  <sheetData>
    <row r="1" spans="1:16" ht="36" customHeight="1" x14ac:dyDescent="0.3">
      <c r="A1" s="81" t="s">
        <v>349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ht="7.5" customHeight="1" x14ac:dyDescent="0.3"/>
    <row r="3" spans="1:16" ht="15" customHeight="1" x14ac:dyDescent="0.3">
      <c r="A3" s="6" t="s">
        <v>350</v>
      </c>
      <c r="B3" s="6"/>
      <c r="C3" s="6"/>
      <c r="D3" s="6"/>
      <c r="F3" s="82" t="s">
        <v>351</v>
      </c>
      <c r="G3" s="82"/>
      <c r="H3" s="82"/>
      <c r="I3" s="82"/>
      <c r="K3" s="83" t="s">
        <v>352</v>
      </c>
      <c r="L3" s="83"/>
      <c r="M3" s="83"/>
      <c r="N3" s="83"/>
      <c r="O3" s="83"/>
    </row>
    <row r="4" spans="1:16" ht="26.4" x14ac:dyDescent="0.3">
      <c r="A4" s="29" t="s">
        <v>353</v>
      </c>
      <c r="B4" s="29" t="s">
        <v>145</v>
      </c>
      <c r="C4" s="29" t="s">
        <v>354</v>
      </c>
      <c r="F4" s="72" t="s">
        <v>152</v>
      </c>
      <c r="G4" s="72" t="s">
        <v>156</v>
      </c>
      <c r="K4" s="15" t="s">
        <v>355</v>
      </c>
      <c r="L4" s="15" t="s">
        <v>33</v>
      </c>
      <c r="M4" s="15" t="s">
        <v>356</v>
      </c>
      <c r="N4" s="15" t="s">
        <v>357</v>
      </c>
      <c r="O4" s="15" t="s">
        <v>358</v>
      </c>
    </row>
    <row r="5" spans="1:16" x14ac:dyDescent="0.3">
      <c r="A5" s="20" t="s">
        <v>116</v>
      </c>
      <c r="B5" s="48">
        <v>30</v>
      </c>
      <c r="C5" s="22">
        <v>1800000</v>
      </c>
      <c r="F5" s="20" t="s">
        <v>160</v>
      </c>
      <c r="G5" s="22">
        <v>780000</v>
      </c>
      <c r="K5" s="30" t="s">
        <v>359</v>
      </c>
      <c r="L5" s="22">
        <v>19680000</v>
      </c>
      <c r="M5" s="22">
        <v>5490000</v>
      </c>
      <c r="N5" s="22">
        <v>25170000</v>
      </c>
      <c r="O5" s="22">
        <v>4110000</v>
      </c>
    </row>
    <row r="6" spans="1:16" x14ac:dyDescent="0.3">
      <c r="A6" s="16" t="s">
        <v>120</v>
      </c>
      <c r="B6" s="47">
        <v>35</v>
      </c>
      <c r="C6" s="18">
        <v>2100000</v>
      </c>
      <c r="F6" s="16" t="s">
        <v>165</v>
      </c>
      <c r="G6" s="18">
        <v>50000</v>
      </c>
      <c r="K6" s="28" t="s">
        <v>360</v>
      </c>
      <c r="L6" s="18">
        <v>0</v>
      </c>
      <c r="M6" s="18">
        <v>10980000</v>
      </c>
      <c r="N6" s="18">
        <v>30660000</v>
      </c>
      <c r="O6" s="18">
        <v>8220000</v>
      </c>
    </row>
    <row r="7" spans="1:16" x14ac:dyDescent="0.3">
      <c r="A7" s="20" t="s">
        <v>122</v>
      </c>
      <c r="B7" s="48">
        <v>35</v>
      </c>
      <c r="C7" s="22">
        <v>2100000</v>
      </c>
      <c r="F7" s="20" t="s">
        <v>170</v>
      </c>
      <c r="G7" s="22">
        <v>0</v>
      </c>
      <c r="K7" s="30" t="s">
        <v>361</v>
      </c>
      <c r="L7" s="22">
        <v>0</v>
      </c>
      <c r="M7" s="22">
        <v>16470000</v>
      </c>
      <c r="N7" s="22">
        <v>36150000</v>
      </c>
      <c r="O7" s="22">
        <v>12330000</v>
      </c>
    </row>
    <row r="8" spans="1:16" x14ac:dyDescent="0.3">
      <c r="A8" s="16" t="s">
        <v>124</v>
      </c>
      <c r="B8" s="47">
        <v>40</v>
      </c>
      <c r="C8" s="18">
        <v>2400000</v>
      </c>
      <c r="F8" s="16" t="s">
        <v>174</v>
      </c>
      <c r="G8" s="18">
        <v>0</v>
      </c>
      <c r="K8" s="28" t="s">
        <v>362</v>
      </c>
      <c r="L8" s="18">
        <v>0</v>
      </c>
      <c r="M8" s="18">
        <v>21960000</v>
      </c>
      <c r="N8" s="18">
        <v>41640000</v>
      </c>
      <c r="O8" s="18">
        <v>16440000</v>
      </c>
    </row>
    <row r="9" spans="1:16" x14ac:dyDescent="0.3">
      <c r="A9" s="20" t="s">
        <v>127</v>
      </c>
      <c r="B9" s="48">
        <v>25</v>
      </c>
      <c r="C9" s="22">
        <v>1500000</v>
      </c>
      <c r="F9" s="20" t="s">
        <v>178</v>
      </c>
      <c r="G9" s="22">
        <v>480000</v>
      </c>
      <c r="K9" s="30" t="s">
        <v>363</v>
      </c>
      <c r="L9" s="22">
        <v>0</v>
      </c>
      <c r="M9" s="22">
        <v>27450000</v>
      </c>
      <c r="N9" s="22">
        <v>47130000</v>
      </c>
      <c r="O9" s="22">
        <v>20550000</v>
      </c>
    </row>
    <row r="10" spans="1:16" x14ac:dyDescent="0.3">
      <c r="A10" s="16" t="s">
        <v>129</v>
      </c>
      <c r="B10" s="47">
        <v>38</v>
      </c>
      <c r="C10" s="18">
        <v>2280000</v>
      </c>
      <c r="F10" s="16" t="s">
        <v>182</v>
      </c>
      <c r="G10" s="18">
        <v>600000</v>
      </c>
    </row>
    <row r="11" spans="1:16" x14ac:dyDescent="0.3">
      <c r="A11" s="20" t="s">
        <v>132</v>
      </c>
      <c r="B11" s="48">
        <v>45</v>
      </c>
      <c r="C11" s="22">
        <v>2700000</v>
      </c>
      <c r="F11" s="20" t="s">
        <v>186</v>
      </c>
      <c r="G11" s="22">
        <v>360000</v>
      </c>
    </row>
    <row r="12" spans="1:16" ht="26.4" x14ac:dyDescent="0.3">
      <c r="A12" s="16" t="s">
        <v>135</v>
      </c>
      <c r="B12" s="47">
        <v>30</v>
      </c>
      <c r="C12" s="18">
        <v>1800000</v>
      </c>
      <c r="F12" s="16" t="s">
        <v>190</v>
      </c>
      <c r="G12" s="18">
        <v>2880000</v>
      </c>
    </row>
    <row r="13" spans="1:16" x14ac:dyDescent="0.3">
      <c r="A13" s="20" t="s">
        <v>137</v>
      </c>
      <c r="B13" s="48">
        <v>30</v>
      </c>
      <c r="C13" s="22">
        <v>1800000</v>
      </c>
      <c r="F13" s="20" t="s">
        <v>194</v>
      </c>
      <c r="G13" s="22">
        <v>240000</v>
      </c>
    </row>
    <row r="14" spans="1:16" ht="26.4" x14ac:dyDescent="0.3">
      <c r="A14" s="16" t="s">
        <v>139</v>
      </c>
      <c r="B14" s="47">
        <v>20</v>
      </c>
      <c r="C14" s="18">
        <v>1200000</v>
      </c>
      <c r="F14" s="16" t="s">
        <v>198</v>
      </c>
      <c r="G14" s="18">
        <v>100000</v>
      </c>
    </row>
    <row r="16" spans="1:16" ht="15" customHeight="1" x14ac:dyDescent="0.3">
      <c r="A16" s="76" t="s">
        <v>364</v>
      </c>
      <c r="B16" s="76"/>
      <c r="C16" s="76"/>
    </row>
    <row r="17" spans="1:3" ht="26.4" x14ac:dyDescent="0.3">
      <c r="A17" s="73" t="s">
        <v>243</v>
      </c>
      <c r="B17" s="73" t="s">
        <v>365</v>
      </c>
      <c r="C17" s="73" t="s">
        <v>366</v>
      </c>
    </row>
    <row r="18" spans="1:3" ht="39.6" x14ac:dyDescent="0.3">
      <c r="A18" s="28" t="s">
        <v>253</v>
      </c>
      <c r="B18" s="19" t="s">
        <v>367</v>
      </c>
      <c r="C18" s="64">
        <v>15</v>
      </c>
    </row>
    <row r="19" spans="1:3" ht="26.4" x14ac:dyDescent="0.3">
      <c r="A19" s="30" t="s">
        <v>258</v>
      </c>
      <c r="B19" s="23" t="s">
        <v>368</v>
      </c>
      <c r="C19" s="59">
        <v>8</v>
      </c>
    </row>
    <row r="20" spans="1:3" ht="39.6" x14ac:dyDescent="0.3">
      <c r="A20" s="28" t="s">
        <v>263</v>
      </c>
      <c r="B20" s="19" t="s">
        <v>369</v>
      </c>
      <c r="C20" s="64">
        <v>10</v>
      </c>
    </row>
    <row r="21" spans="1:3" ht="39.6" x14ac:dyDescent="0.3">
      <c r="A21" s="30" t="s">
        <v>267</v>
      </c>
      <c r="B21" s="23" t="s">
        <v>370</v>
      </c>
      <c r="C21" s="59">
        <v>9</v>
      </c>
    </row>
    <row r="22" spans="1:3" ht="39.6" x14ac:dyDescent="0.3">
      <c r="A22" s="28" t="s">
        <v>271</v>
      </c>
      <c r="B22" s="19" t="s">
        <v>371</v>
      </c>
      <c r="C22" s="64">
        <v>5</v>
      </c>
    </row>
    <row r="23" spans="1:3" ht="39.6" x14ac:dyDescent="0.3">
      <c r="A23" s="30" t="s">
        <v>275</v>
      </c>
      <c r="B23" s="23" t="s">
        <v>372</v>
      </c>
      <c r="C23" s="59">
        <v>8</v>
      </c>
    </row>
    <row r="24" spans="1:3" ht="39.6" x14ac:dyDescent="0.3">
      <c r="A24" s="28" t="s">
        <v>280</v>
      </c>
      <c r="B24" s="19" t="s">
        <v>373</v>
      </c>
      <c r="C24" s="64">
        <v>12</v>
      </c>
    </row>
    <row r="25" spans="1:3" ht="39.6" x14ac:dyDescent="0.3">
      <c r="A25" s="30" t="s">
        <v>285</v>
      </c>
      <c r="B25" s="23" t="s">
        <v>374</v>
      </c>
      <c r="C25" s="59">
        <v>6</v>
      </c>
    </row>
    <row r="26" spans="1:3" ht="39.6" x14ac:dyDescent="0.3">
      <c r="A26" s="28" t="s">
        <v>289</v>
      </c>
      <c r="B26" s="19" t="s">
        <v>375</v>
      </c>
      <c r="C26" s="64">
        <v>6</v>
      </c>
    </row>
    <row r="27" spans="1:3" ht="39.6" x14ac:dyDescent="0.3">
      <c r="A27" s="30" t="s">
        <v>293</v>
      </c>
      <c r="B27" s="23" t="s">
        <v>376</v>
      </c>
      <c r="C27" s="59">
        <v>9</v>
      </c>
    </row>
    <row r="28" spans="1:3" ht="39.6" x14ac:dyDescent="0.3">
      <c r="A28" s="28" t="s">
        <v>297</v>
      </c>
      <c r="B28" s="19" t="s">
        <v>377</v>
      </c>
      <c r="C28" s="64">
        <v>10</v>
      </c>
    </row>
    <row r="29" spans="1:3" ht="39.6" x14ac:dyDescent="0.3">
      <c r="A29" s="30" t="s">
        <v>300</v>
      </c>
      <c r="B29" s="23" t="s">
        <v>378</v>
      </c>
      <c r="C29" s="59">
        <v>6</v>
      </c>
    </row>
    <row r="30" spans="1:3" ht="39.6" x14ac:dyDescent="0.3">
      <c r="A30" s="28" t="s">
        <v>305</v>
      </c>
      <c r="B30" s="19" t="s">
        <v>379</v>
      </c>
      <c r="C30" s="64">
        <v>8</v>
      </c>
    </row>
    <row r="31" spans="1:3" ht="39.6" x14ac:dyDescent="0.3">
      <c r="A31" s="30" t="s">
        <v>309</v>
      </c>
      <c r="B31" s="23" t="s">
        <v>380</v>
      </c>
      <c r="C31" s="59">
        <v>9</v>
      </c>
    </row>
  </sheetData>
  <mergeCells count="5">
    <mergeCell ref="A1:P1"/>
    <mergeCell ref="A3:D3"/>
    <mergeCell ref="F3:I3"/>
    <mergeCell ref="K3:O3"/>
    <mergeCell ref="A16:C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Ejecutivo</vt:lpstr>
      <vt:lpstr>Supuestos</vt:lpstr>
      <vt:lpstr>CAPEX</vt:lpstr>
      <vt:lpstr>OPEX</vt:lpstr>
      <vt:lpstr>Cloud</vt:lpstr>
      <vt:lpstr>Riesgos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JOSEPH NICOLAS VARON VARGAS</cp:lastModifiedBy>
  <cp:revision>1</cp:revision>
  <dcterms:created xsi:type="dcterms:W3CDTF">2026-06-06T18:48:33Z</dcterms:created>
  <dcterms:modified xsi:type="dcterms:W3CDTF">2026-06-06T19:12:22Z</dcterms:modified>
  <dc:language>en-US</dc:language>
</cp:coreProperties>
</file>